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827" codeName="{37B6ACAC-4A07-160E-37E0-EFA003358AD4}"/>
  <workbookPr updateLinks="never" codeName="ThisWorkbook" defaultThemeVersion="124226"/>
  <mc:AlternateContent xmlns:mc="http://schemas.openxmlformats.org/markup-compatibility/2006">
    <mc:Choice Requires="x15">
      <x15ac:absPath xmlns:x15ac="http://schemas.microsoft.com/office/spreadsheetml/2010/11/ac" url="E:\DROPBOX\Dropbox (EHR-LLC)\RCX\E-SSA\"/>
    </mc:Choice>
  </mc:AlternateContent>
  <bookViews>
    <workbookView xWindow="0" yWindow="0" windowWidth="14370" windowHeight="7335" tabRatio="718" activeTab="1" xr2:uid="{00000000-000D-0000-FFFF-FFFF00000000}"/>
  </bookViews>
  <sheets>
    <sheet name="Instructions" sheetId="35" r:id="rId1"/>
    <sheet name="BA-Scorecard" sheetId="28" r:id="rId2"/>
    <sheet name="IA-Scorecard" sheetId="31" r:id="rId3"/>
    <sheet name="TA-Scorecard" sheetId="30" r:id="rId4"/>
    <sheet name="S&amp;C Scorecard" sheetId="33" r:id="rId5"/>
    <sheet name="Validation" sheetId="26" state="veryHidden" r:id="rId6"/>
  </sheets>
  <definedNames>
    <definedName name="_xlnm._FilterDatabase" localSheetId="1" hidden="1">'BA-Scorecard'!$A$4:$W$866</definedName>
    <definedName name="_xlnm._FilterDatabase" localSheetId="2" hidden="1">'IA-Scorecard'!$A$4:$V$44</definedName>
    <definedName name="_xlnm._FilterDatabase" localSheetId="4" hidden="1">'S&amp;C Scorecard'!$A$4:$V$214</definedName>
    <definedName name="_xlnm._FilterDatabase" localSheetId="3" hidden="1">'TA-Scorecard'!$A$4:$V$154</definedName>
  </definedNames>
  <calcPr calcId="171027"/>
</workbook>
</file>

<file path=xl/calcChain.xml><?xml version="1.0" encoding="utf-8"?>
<calcChain xmlns="http://schemas.openxmlformats.org/spreadsheetml/2006/main">
  <c r="D2" i="31" l="1"/>
  <c r="D2" i="30" s="1"/>
  <c r="D2" i="33" s="1"/>
  <c r="B2" i="31"/>
  <c r="B2" i="30" s="1"/>
  <c r="B2" i="33" s="1"/>
  <c r="M586" i="28" l="1"/>
  <c r="M5" i="28"/>
  <c r="L5" i="28"/>
  <c r="M117" i="28"/>
  <c r="L117" i="28"/>
  <c r="M106" i="28"/>
  <c r="L106" i="28"/>
  <c r="L128" i="28"/>
  <c r="M128" i="28"/>
  <c r="L139" i="28"/>
  <c r="M139" i="28"/>
  <c r="I5" i="33"/>
  <c r="I8" i="33"/>
  <c r="I11" i="33"/>
  <c r="I14" i="33"/>
  <c r="I17" i="33"/>
  <c r="I20" i="33"/>
  <c r="I23" i="33"/>
  <c r="I26" i="33"/>
  <c r="I29" i="33"/>
  <c r="I32" i="33"/>
  <c r="I35" i="33"/>
  <c r="I38" i="33"/>
  <c r="I41" i="33"/>
  <c r="I44" i="33"/>
  <c r="I47" i="33"/>
  <c r="I50" i="33"/>
  <c r="I53" i="33"/>
  <c r="I56" i="33"/>
  <c r="I59" i="33"/>
  <c r="I62" i="33"/>
  <c r="I65" i="33"/>
  <c r="I68" i="33"/>
  <c r="I71" i="33"/>
  <c r="I74" i="33"/>
  <c r="I77" i="33"/>
  <c r="I80" i="33"/>
  <c r="I83" i="33"/>
  <c r="I86" i="33"/>
  <c r="I89" i="33"/>
  <c r="I92" i="33"/>
  <c r="I95" i="33"/>
  <c r="I98" i="33"/>
  <c r="I101" i="33"/>
  <c r="I104" i="33"/>
  <c r="I107" i="33"/>
  <c r="I110" i="33"/>
  <c r="I113" i="33"/>
  <c r="I116" i="33"/>
  <c r="I119" i="33"/>
  <c r="I122" i="33"/>
  <c r="I125" i="33"/>
  <c r="I128" i="33"/>
  <c r="I131" i="33"/>
  <c r="I134" i="33"/>
  <c r="I137" i="33"/>
  <c r="I140" i="33"/>
  <c r="I143" i="33"/>
  <c r="I146" i="33"/>
  <c r="I149" i="33"/>
  <c r="I152" i="33"/>
  <c r="I155" i="33"/>
  <c r="I158" i="33"/>
  <c r="I161" i="33"/>
  <c r="I164" i="33"/>
  <c r="I167" i="33"/>
  <c r="I170" i="33"/>
  <c r="I173" i="33"/>
  <c r="I176" i="33"/>
  <c r="I179" i="33"/>
  <c r="I182" i="33"/>
  <c r="I185" i="33"/>
  <c r="I188" i="33"/>
  <c r="I191" i="33"/>
  <c r="I194" i="33"/>
  <c r="I197" i="33"/>
  <c r="I200" i="33"/>
  <c r="I203" i="33"/>
  <c r="I206" i="33"/>
  <c r="I209" i="33"/>
  <c r="I212" i="33"/>
  <c r="H140" i="33"/>
  <c r="H143" i="33"/>
  <c r="H146" i="33"/>
  <c r="H149" i="33"/>
  <c r="H152" i="33"/>
  <c r="H155" i="33"/>
  <c r="H158" i="33"/>
  <c r="H161" i="33"/>
  <c r="H164" i="33"/>
  <c r="H167" i="33"/>
  <c r="H170" i="33"/>
  <c r="H173" i="33"/>
  <c r="H176" i="33"/>
  <c r="H179" i="33"/>
  <c r="H182" i="33"/>
  <c r="H185" i="33"/>
  <c r="H188" i="33"/>
  <c r="H191" i="33"/>
  <c r="H194" i="33"/>
  <c r="H197" i="33"/>
  <c r="H200" i="33"/>
  <c r="H203" i="33"/>
  <c r="H206" i="33"/>
  <c r="H209" i="33"/>
  <c r="H212" i="33"/>
  <c r="H32" i="33"/>
  <c r="H35" i="33"/>
  <c r="H38" i="33"/>
  <c r="H41" i="33"/>
  <c r="H44" i="33"/>
  <c r="H47" i="33"/>
  <c r="H50" i="33"/>
  <c r="H53" i="33"/>
  <c r="H56" i="33"/>
  <c r="H59" i="33"/>
  <c r="H62" i="33"/>
  <c r="H65" i="33"/>
  <c r="H68" i="33"/>
  <c r="H71" i="33"/>
  <c r="H74" i="33"/>
  <c r="H77" i="33"/>
  <c r="H80" i="33"/>
  <c r="H83" i="33"/>
  <c r="H86" i="33"/>
  <c r="H89" i="33"/>
  <c r="H92" i="33"/>
  <c r="H95" i="33"/>
  <c r="H98" i="33"/>
  <c r="H101" i="33"/>
  <c r="H104" i="33"/>
  <c r="H107" i="33"/>
  <c r="H110" i="33"/>
  <c r="H113" i="33"/>
  <c r="H116" i="33"/>
  <c r="H119" i="33"/>
  <c r="H122" i="33"/>
  <c r="H125" i="33"/>
  <c r="H128" i="33"/>
  <c r="H131" i="33"/>
  <c r="H134" i="33"/>
  <c r="H137" i="33"/>
  <c r="H20" i="33"/>
  <c r="H23" i="33"/>
  <c r="H26" i="33"/>
  <c r="H29" i="33"/>
  <c r="H8" i="33"/>
  <c r="H11" i="33"/>
  <c r="H14" i="33"/>
  <c r="H17" i="33"/>
  <c r="H5" i="33"/>
  <c r="I140" i="30"/>
  <c r="H140" i="30"/>
  <c r="I125" i="30"/>
  <c r="H125" i="30"/>
  <c r="I110" i="30"/>
  <c r="H110" i="30"/>
  <c r="I95" i="30"/>
  <c r="H95" i="30"/>
  <c r="I80" i="30"/>
  <c r="H80" i="30"/>
  <c r="I65" i="30"/>
  <c r="H65" i="30"/>
  <c r="I50" i="30"/>
  <c r="H50" i="30"/>
  <c r="I35" i="30"/>
  <c r="H35" i="30"/>
  <c r="I20" i="30"/>
  <c r="I5" i="30"/>
  <c r="H5" i="30"/>
  <c r="H20" i="30"/>
  <c r="L537" i="28"/>
  <c r="M537" i="28"/>
  <c r="L543" i="28"/>
  <c r="M543" i="28"/>
  <c r="L549" i="28"/>
  <c r="M549" i="28"/>
  <c r="L555" i="28"/>
  <c r="M555" i="28"/>
  <c r="L561" i="28"/>
  <c r="M561" i="28"/>
  <c r="L574" i="28"/>
  <c r="M574" i="28"/>
  <c r="L586" i="28"/>
  <c r="L598" i="28"/>
  <c r="M598" i="28"/>
  <c r="L608" i="28"/>
  <c r="M608" i="28"/>
  <c r="L619" i="28"/>
  <c r="M619" i="28"/>
  <c r="L634" i="28"/>
  <c r="M634" i="28"/>
  <c r="L644" i="28"/>
  <c r="M644" i="28"/>
  <c r="L654" i="28"/>
  <c r="M654" i="28"/>
  <c r="L666" i="28"/>
  <c r="M666" i="28"/>
  <c r="L677" i="28"/>
  <c r="M677" i="28"/>
  <c r="L688" i="28"/>
  <c r="M688" i="28"/>
  <c r="L699" i="28"/>
  <c r="M699" i="28"/>
  <c r="L710" i="28"/>
  <c r="M710" i="28"/>
  <c r="L721" i="28"/>
  <c r="M721" i="28"/>
  <c r="L733" i="28"/>
  <c r="M733" i="28"/>
  <c r="L745" i="28"/>
  <c r="M745" i="28"/>
  <c r="L757" i="28"/>
  <c r="M757" i="28"/>
  <c r="L767" i="28"/>
  <c r="M767" i="28"/>
  <c r="L779" i="28"/>
  <c r="M779" i="28"/>
  <c r="L790" i="28"/>
  <c r="M790" i="28"/>
  <c r="L800" i="28"/>
  <c r="M800" i="28"/>
  <c r="L810" i="28"/>
  <c r="M810" i="28"/>
  <c r="L821" i="28"/>
  <c r="M821" i="28"/>
  <c r="L832" i="28"/>
  <c r="M832" i="28"/>
  <c r="L844" i="28"/>
  <c r="M844" i="28"/>
  <c r="L857" i="28"/>
  <c r="M857" i="28"/>
  <c r="L46" i="28"/>
  <c r="M46" i="28"/>
  <c r="L56" i="28"/>
  <c r="M56" i="28"/>
  <c r="L66" i="28"/>
  <c r="M66" i="28"/>
  <c r="L76" i="28"/>
  <c r="M76" i="28"/>
  <c r="L86" i="28"/>
  <c r="M86" i="28"/>
  <c r="L96" i="28"/>
  <c r="M96" i="28"/>
  <c r="L150" i="28"/>
  <c r="M150" i="28"/>
  <c r="L161" i="28"/>
  <c r="M161" i="28"/>
  <c r="L173" i="28"/>
  <c r="M173" i="28"/>
  <c r="L185" i="28"/>
  <c r="M185" i="28"/>
  <c r="L197" i="28"/>
  <c r="M197" i="28"/>
  <c r="L209" i="28"/>
  <c r="M209" i="28"/>
  <c r="L221" i="28"/>
  <c r="M221" i="28"/>
  <c r="L233" i="28"/>
  <c r="M233" i="28"/>
  <c r="L256" i="28"/>
  <c r="M256" i="28"/>
  <c r="L266" i="28"/>
  <c r="M266" i="28"/>
  <c r="L276" i="28"/>
  <c r="M276" i="28"/>
  <c r="L286" i="28"/>
  <c r="M286" i="28"/>
  <c r="L301" i="28"/>
  <c r="M301" i="28"/>
  <c r="L313" i="28"/>
  <c r="M313" i="28"/>
  <c r="L323" i="28"/>
  <c r="M323" i="28"/>
  <c r="L333" i="28"/>
  <c r="M333" i="28"/>
  <c r="L346" i="28"/>
  <c r="M346" i="28"/>
  <c r="L359" i="28"/>
  <c r="M359" i="28"/>
  <c r="L370" i="28"/>
  <c r="M370" i="28"/>
  <c r="L381" i="28"/>
  <c r="M381" i="28"/>
  <c r="L392" i="28"/>
  <c r="M392" i="28"/>
  <c r="L403" i="28"/>
  <c r="M403" i="28"/>
  <c r="L413" i="28"/>
  <c r="M413" i="28"/>
  <c r="L423" i="28"/>
  <c r="M423" i="28"/>
  <c r="L433" i="28"/>
  <c r="M433" i="28"/>
  <c r="L443" i="28"/>
  <c r="M443" i="28"/>
  <c r="L454" i="28"/>
  <c r="M454" i="28"/>
  <c r="L464" i="28"/>
  <c r="M464" i="28"/>
  <c r="L476" i="28"/>
  <c r="M476" i="28"/>
  <c r="L487" i="28"/>
  <c r="M487" i="28"/>
  <c r="L497" i="28"/>
  <c r="M497" i="28"/>
  <c r="L507" i="28"/>
  <c r="M507" i="28"/>
  <c r="L517" i="28"/>
  <c r="M517" i="28"/>
  <c r="L527" i="28"/>
  <c r="M527" i="28"/>
  <c r="L36" i="28"/>
  <c r="M36" i="28"/>
  <c r="L26" i="28"/>
  <c r="M26" i="28"/>
  <c r="L15" i="28"/>
  <c r="M15" i="28"/>
  <c r="H9" i="31"/>
  <c r="H5" i="31"/>
  <c r="H41" i="31"/>
  <c r="H37" i="31"/>
  <c r="H33" i="31"/>
  <c r="H29" i="31"/>
  <c r="H25" i="31"/>
  <c r="H21" i="31"/>
  <c r="H17" i="31"/>
  <c r="H13" i="31"/>
  <c r="G5" i="31"/>
  <c r="G41" i="31"/>
  <c r="G37" i="31"/>
  <c r="G33" i="31"/>
  <c r="G29" i="31"/>
  <c r="G25" i="31"/>
  <c r="G21" i="31"/>
  <c r="G17" i="31"/>
  <c r="G13" i="31"/>
  <c r="G9" i="31"/>
</calcChain>
</file>

<file path=xl/sharedStrings.xml><?xml version="1.0" encoding="utf-8"?>
<sst xmlns="http://schemas.openxmlformats.org/spreadsheetml/2006/main" count="7532" uniqueCount="357">
  <si>
    <t xml:space="preserve">Timeliness of Process </t>
  </si>
  <si>
    <t xml:space="preserve">Data Management </t>
  </si>
  <si>
    <t>Conceptual Data Model</t>
  </si>
  <si>
    <t>Logical Data Model</t>
  </si>
  <si>
    <t>Data Standards</t>
  </si>
  <si>
    <t>Provider Management</t>
  </si>
  <si>
    <t>Technical Service Area</t>
  </si>
  <si>
    <t>Access and Delivery</t>
  </si>
  <si>
    <t>Client Support</t>
  </si>
  <si>
    <t>Business Intelligence</t>
  </si>
  <si>
    <t xml:space="preserve">Forms and Reporting </t>
  </si>
  <si>
    <t>Performance Measurement</t>
  </si>
  <si>
    <t>Security and Privacy</t>
  </si>
  <si>
    <t>Business Process Management</t>
  </si>
  <si>
    <t>Relationship Management</t>
  </si>
  <si>
    <t>Data Connectivity</t>
  </si>
  <si>
    <t>Service-Oriented Architecture</t>
  </si>
  <si>
    <t>System Extensibility</t>
  </si>
  <si>
    <t>Integration and Utility</t>
  </si>
  <si>
    <t>Configuration Management</t>
  </si>
  <si>
    <t>Data Access &amp; Management</t>
  </si>
  <si>
    <t>Decision Management</t>
  </si>
  <si>
    <t>Logging</t>
  </si>
  <si>
    <t>Utility</t>
  </si>
  <si>
    <t>Modularity Standard</t>
  </si>
  <si>
    <t>Business Architecture</t>
  </si>
  <si>
    <t>Information Architecture</t>
  </si>
  <si>
    <t>Technical Architecture</t>
  </si>
  <si>
    <t>MITA Condition</t>
  </si>
  <si>
    <t>Industry Standards Condition</t>
  </si>
  <si>
    <t>Leverage Condition</t>
  </si>
  <si>
    <t>Business Results Condition</t>
  </si>
  <si>
    <t>Reporting Condition</t>
  </si>
  <si>
    <t>Interoperability Condition</t>
  </si>
  <si>
    <t>Data Access and Accuracy</t>
  </si>
  <si>
    <t>Cost-Effectiveness</t>
  </si>
  <si>
    <t>Effort to Perform; Efficiency</t>
  </si>
  <si>
    <t>Accuracy of Process Results</t>
  </si>
  <si>
    <t>Utility or Value to Stakeholder</t>
  </si>
  <si>
    <t>State ID</t>
  </si>
  <si>
    <t>XX</t>
  </si>
  <si>
    <t>Technical Service Classification</t>
  </si>
  <si>
    <t xml:space="preserve"> Supporting Evidence</t>
  </si>
  <si>
    <t>IA Component Name</t>
  </si>
  <si>
    <t>Type Of Architecture</t>
  </si>
  <si>
    <t>PM01</t>
  </si>
  <si>
    <t>MITA Business Process Code</t>
  </si>
  <si>
    <t>MA</t>
  </si>
  <si>
    <t>MITA Business Process</t>
  </si>
  <si>
    <t>Description</t>
  </si>
  <si>
    <t>Disseminates federal policy, covers provider application for payment, eligibility requirements, compliance activities (attestation), payment determination by state and concludes with approval of payment</t>
  </si>
  <si>
    <t>Establishes and describes the EHR Incentive Program</t>
  </si>
  <si>
    <t>Systems that store provider registration data and Data store storing attestations and CQM</t>
  </si>
  <si>
    <t>Call Center support, websites and guidance published from State</t>
  </si>
  <si>
    <t>Work with RECs on provider education of EHR</t>
  </si>
  <si>
    <t>Accept provider registration data from NLR</t>
  </si>
  <si>
    <t xml:space="preserve">Management of beneficiary information in HIE </t>
  </si>
  <si>
    <t>Manage the communication with the Member.</t>
  </si>
  <si>
    <t>Management of appeals from providers for incentive payments</t>
  </si>
  <si>
    <t>Management of FFP for EHR</t>
  </si>
  <si>
    <t>Auditing activities</t>
  </si>
  <si>
    <t>HITECH BP ID</t>
  </si>
  <si>
    <t>FM12</t>
  </si>
  <si>
    <t>PL03</t>
  </si>
  <si>
    <t>PM02</t>
  </si>
  <si>
    <t>PM03</t>
  </si>
  <si>
    <t>EE06</t>
  </si>
  <si>
    <t>ME01</t>
  </si>
  <si>
    <t>ME02</t>
  </si>
  <si>
    <t>PM07</t>
  </si>
  <si>
    <t>FM18</t>
  </si>
  <si>
    <t>PE01</t>
  </si>
  <si>
    <t>AK</t>
  </si>
  <si>
    <t>AL</t>
  </si>
  <si>
    <t>AR</t>
  </si>
  <si>
    <t>AZ</t>
  </si>
  <si>
    <t>CA</t>
  </si>
  <si>
    <t>CO</t>
  </si>
  <si>
    <t>CT</t>
  </si>
  <si>
    <t>DC</t>
  </si>
  <si>
    <t>DE</t>
  </si>
  <si>
    <t>FL</t>
  </si>
  <si>
    <t>GA</t>
  </si>
  <si>
    <t>GU</t>
  </si>
  <si>
    <t>HI</t>
  </si>
  <si>
    <t>IA</t>
  </si>
  <si>
    <t>ID</t>
  </si>
  <si>
    <t>IL</t>
  </si>
  <si>
    <t>IN</t>
  </si>
  <si>
    <t>KS</t>
  </si>
  <si>
    <t>KY</t>
  </si>
  <si>
    <t>LA</t>
  </si>
  <si>
    <t>MD</t>
  </si>
  <si>
    <t>ME</t>
  </si>
  <si>
    <t>MI</t>
  </si>
  <si>
    <t>MN</t>
  </si>
  <si>
    <t>MS</t>
  </si>
  <si>
    <t>MT</t>
  </si>
  <si>
    <t>NC</t>
  </si>
  <si>
    <t>ND</t>
  </si>
  <si>
    <t>NE</t>
  </si>
  <si>
    <t>NH</t>
  </si>
  <si>
    <t>NJ</t>
  </si>
  <si>
    <t>NM</t>
  </si>
  <si>
    <t>NV</t>
  </si>
  <si>
    <t>NY</t>
  </si>
  <si>
    <t>OH</t>
  </si>
  <si>
    <t>OK</t>
  </si>
  <si>
    <t>OR</t>
  </si>
  <si>
    <t>PA</t>
  </si>
  <si>
    <t>PR</t>
  </si>
  <si>
    <t>RI</t>
  </si>
  <si>
    <t>SC</t>
  </si>
  <si>
    <t>SD</t>
  </si>
  <si>
    <t>TN</t>
  </si>
  <si>
    <t>TX</t>
  </si>
  <si>
    <t>UT</t>
  </si>
  <si>
    <t>VA</t>
  </si>
  <si>
    <t>VI</t>
  </si>
  <si>
    <t>VT</t>
  </si>
  <si>
    <t>WA</t>
  </si>
  <si>
    <t>WI</t>
  </si>
  <si>
    <t>WV</t>
  </si>
  <si>
    <t>WY</t>
  </si>
  <si>
    <t>FM12 Manage Incentive Payment</t>
  </si>
  <si>
    <t>PL03 Manage Program Policy</t>
  </si>
  <si>
    <t>PM01 Manage Provider Information</t>
  </si>
  <si>
    <t>PM02 Manage Provider Communication</t>
  </si>
  <si>
    <t>PM03 Perform Provider Outreach</t>
  </si>
  <si>
    <t>EE06 Enroll Provider</t>
  </si>
  <si>
    <t>ME01 Manage Member Information (future release)</t>
  </si>
  <si>
    <t>ME02 Manage Applicant and Member Communication (Under Development)</t>
  </si>
  <si>
    <t>PM07 Manage Provider Grievance and Appeal</t>
  </si>
  <si>
    <t>FM18 Manage Fund</t>
  </si>
  <si>
    <t>PE01 Identify Utilization Anomalies</t>
  </si>
  <si>
    <t>Business Relationship Management</t>
  </si>
  <si>
    <t>Care Management</t>
  </si>
  <si>
    <t>Contractor Management</t>
  </si>
  <si>
    <t>Eligibility and Enrollment Management</t>
  </si>
  <si>
    <t>Financial Management</t>
  </si>
  <si>
    <t>Member Management</t>
  </si>
  <si>
    <t>Operations Management</t>
  </si>
  <si>
    <t>Performance Management</t>
  </si>
  <si>
    <t>Plan Management</t>
  </si>
  <si>
    <t>BR01 Establish Business Relationship</t>
  </si>
  <si>
    <t>BR02 Manage Business Relationship Communication</t>
  </si>
  <si>
    <t>BR03 Manage Business Relationship Information</t>
  </si>
  <si>
    <t>CM01 Establish Case</t>
  </si>
  <si>
    <t>CM02 Manage Case Information</t>
  </si>
  <si>
    <t>CM03 Manage Population Health Outreach</t>
  </si>
  <si>
    <t>CM04 Manage Registry</t>
  </si>
  <si>
    <t>CM05 Perform Screening and Assessment</t>
  </si>
  <si>
    <t>CM06 Manage Treatment Plan and Outcomes</t>
  </si>
  <si>
    <t>CM09 Authorize Treatment Plan</t>
  </si>
  <si>
    <t>CO01 Manage Contractor Information</t>
  </si>
  <si>
    <t>CO02 Manage Contractor Communication</t>
  </si>
  <si>
    <t>CO03 Perform Contractor Outreach</t>
  </si>
  <si>
    <t>CO04 Inquire Contractor Information</t>
  </si>
  <si>
    <t>CO05 Produce Solicitation</t>
  </si>
  <si>
    <t>CO06 Award Contract</t>
  </si>
  <si>
    <t>CO07 Manage Contract</t>
  </si>
  <si>
    <t>CO08 Close Out Contract</t>
  </si>
  <si>
    <t>CO09 Manage Contractor Grievance and Appeal</t>
  </si>
  <si>
    <t>EE05 Determine Provider Eligibility</t>
  </si>
  <si>
    <t>EE07 Disenroll Provider</t>
  </si>
  <si>
    <t>EE08 Inquire Provider Information</t>
  </si>
  <si>
    <t>FM01 Manage Provider Recoupment</t>
  </si>
  <si>
    <t>FM02 Manage TPL Recovery</t>
  </si>
  <si>
    <t>FM03 Manage Estate Recovery</t>
  </si>
  <si>
    <t>FM04 Manage Drug Rebate</t>
  </si>
  <si>
    <t>FM05 Manage Cost Settlement</t>
  </si>
  <si>
    <t>FM06 Manage Accounts Receivable Information</t>
  </si>
  <si>
    <t>FM07 Manage Accounts Receivable Funds</t>
  </si>
  <si>
    <t>FM08 Prepare Member Premium Invoice</t>
  </si>
  <si>
    <t>FM09 Manage Contractor Payment</t>
  </si>
  <si>
    <t>FM10 Manage Member Financial Participation</t>
  </si>
  <si>
    <t>FM11 Manage Capitation Payment</t>
  </si>
  <si>
    <t>FM13 Manage Accounts Payable Information</t>
  </si>
  <si>
    <t>FM14 Manage Accounts Payable Disbursement</t>
  </si>
  <si>
    <t>FM15 Manage 1099</t>
  </si>
  <si>
    <t>FM16 Formulate Budget</t>
  </si>
  <si>
    <t>FM17 Manage Budget Information</t>
  </si>
  <si>
    <t>FM19 Generate Financial Report</t>
  </si>
  <si>
    <t>ME01 Manage Member Information (Under Development)</t>
  </si>
  <si>
    <t>ME03 Perform Population and Member Outreach (Under Development)</t>
  </si>
  <si>
    <t>ME08 Manage Member Grievance and Appeal (Under Development)</t>
  </si>
  <si>
    <t>OM04 Submit Electronic Attachment</t>
  </si>
  <si>
    <t>OM05 Apply Mass Adjustment</t>
  </si>
  <si>
    <t>OM07 Process Claims</t>
  </si>
  <si>
    <t>OM14 Generate Remittance Advice</t>
  </si>
  <si>
    <t>OM18 Inquire Payment Status</t>
  </si>
  <si>
    <t>OM20 Calculate Spend-Down Amount</t>
  </si>
  <si>
    <t>OM27 Prepare Provider Payment</t>
  </si>
  <si>
    <t>OM28 Manage Data</t>
  </si>
  <si>
    <t>OM29 Process Encounters</t>
  </si>
  <si>
    <t>PE02 Establish Compliance Incident</t>
  </si>
  <si>
    <t>PE03 Manage Compliance Incident Information</t>
  </si>
  <si>
    <t>PE04 Determine Adverse Action Incident</t>
  </si>
  <si>
    <t>PE05 Prepare REOMB</t>
  </si>
  <si>
    <t>PL01 Develop Agency Goals and Objectives</t>
  </si>
  <si>
    <t>PL02 Maintain Program Policy</t>
  </si>
  <si>
    <t>PL03 Maintain State Plan</t>
  </si>
  <si>
    <t>PL04 Manage Health Plan Information</t>
  </si>
  <si>
    <t>PL05 Manage Performance Measures</t>
  </si>
  <si>
    <t>PL06 Manage Health Benefit Information</t>
  </si>
  <si>
    <t>PL07 Manage Reference Information</t>
  </si>
  <si>
    <t>PL08 Manage Rate Setting</t>
  </si>
  <si>
    <t>PM08 Terminate Provider</t>
  </si>
  <si>
    <t>Assessment Program</t>
  </si>
  <si>
    <t>HITECH</t>
  </si>
  <si>
    <t>N/A</t>
  </si>
  <si>
    <t>Maturity Level Assignment</t>
  </si>
  <si>
    <t>Business Area</t>
  </si>
  <si>
    <t xml:space="preserve">As-Is </t>
  </si>
  <si>
    <t>Business Capability Level</t>
  </si>
  <si>
    <t>To-Be</t>
  </si>
  <si>
    <t>As-Is</t>
  </si>
  <si>
    <t>Assessment</t>
  </si>
  <si>
    <t>Date</t>
  </si>
  <si>
    <t>Business Process</t>
  </si>
  <si>
    <t>Overall Profile by Business Area</t>
  </si>
  <si>
    <t xml:space="preserve">Assessment Program:  </t>
  </si>
  <si>
    <t>TA Profile by Business Area</t>
  </si>
  <si>
    <t>Technical Service Level</t>
  </si>
  <si>
    <t>Intermediary and Interface</t>
  </si>
  <si>
    <t>IA Profile by Business Area</t>
  </si>
  <si>
    <t xml:space="preserve"> Performance Measure</t>
  </si>
  <si>
    <r>
      <t xml:space="preserve">MITA Business Architecture (BA) Scorecard
</t>
    </r>
    <r>
      <rPr>
        <b/>
        <i/>
        <sz val="20"/>
        <color rgb="FFC00000"/>
        <rFont val="Calibri"/>
        <family val="2"/>
        <scheme val="minor"/>
      </rPr>
      <t>Note: Before starting, select Assessment Program and State ID below</t>
    </r>
  </si>
  <si>
    <r>
      <rPr>
        <b/>
        <sz val="22"/>
        <color theme="1"/>
        <rFont val="Calibri"/>
        <family val="2"/>
        <scheme val="minor"/>
      </rPr>
      <t xml:space="preserve">MITA Information Architecture (IA) Scorecard
</t>
    </r>
    <r>
      <rPr>
        <b/>
        <i/>
        <sz val="20"/>
        <color rgb="FFC00000"/>
        <rFont val="Calibri"/>
        <family val="2"/>
        <scheme val="minor"/>
      </rPr>
      <t>Note: Before starting, select Assessment Program and State ID below</t>
    </r>
  </si>
  <si>
    <r>
      <rPr>
        <b/>
        <sz val="22"/>
        <color theme="1"/>
        <rFont val="Calibri"/>
        <family val="2"/>
        <scheme val="minor"/>
      </rPr>
      <t>MITA Technical Architecture (TA) Scorecard</t>
    </r>
    <r>
      <rPr>
        <b/>
        <sz val="16"/>
        <color theme="1"/>
        <rFont val="Calibri"/>
        <family val="2"/>
        <scheme val="minor"/>
      </rPr>
      <t xml:space="preserve">
</t>
    </r>
    <r>
      <rPr>
        <b/>
        <i/>
        <sz val="20"/>
        <color rgb="FFC00000"/>
        <rFont val="Calibri"/>
        <family val="2"/>
        <scheme val="minor"/>
      </rPr>
      <t>Note: Before starting, select Assessment Program and State ID below</t>
    </r>
  </si>
  <si>
    <t>Component Capability Level</t>
  </si>
  <si>
    <t xml:space="preserve">State:  </t>
  </si>
  <si>
    <t>State:</t>
  </si>
  <si>
    <t>•</t>
  </si>
  <si>
    <t xml:space="preserve">   </t>
  </si>
  <si>
    <r>
      <rPr>
        <b/>
        <sz val="12"/>
        <color rgb="FFFF0000"/>
        <rFont val="Calibri"/>
        <family val="2"/>
        <scheme val="minor"/>
      </rPr>
      <t>The tab names are fixed and should not be renamed</t>
    </r>
    <r>
      <rPr>
        <sz val="12"/>
        <color theme="1"/>
        <rFont val="Calibri"/>
        <family val="2"/>
        <scheme val="minor"/>
      </rPr>
      <t xml:space="preserve">. These are used by CMS for processing of the eSS-A Scorecards 
</t>
    </r>
  </si>
  <si>
    <r>
      <t xml:space="preserve">Complete the following columns for each worksheet:
BA-Scorecard, columns </t>
    </r>
    <r>
      <rPr>
        <b/>
        <sz val="12"/>
        <color theme="1"/>
        <rFont val="Calibri"/>
        <family val="2"/>
        <scheme val="minor"/>
      </rPr>
      <t xml:space="preserve">D through I
</t>
    </r>
    <r>
      <rPr>
        <sz val="12"/>
        <color theme="1"/>
        <rFont val="Calibri"/>
        <family val="2"/>
        <scheme val="minor"/>
      </rPr>
      <t xml:space="preserve">IA-Scorecard, columns </t>
    </r>
    <r>
      <rPr>
        <b/>
        <sz val="12"/>
        <color theme="1"/>
        <rFont val="Calibri"/>
        <family val="2"/>
        <scheme val="minor"/>
      </rPr>
      <t xml:space="preserve">C through F
</t>
    </r>
    <r>
      <rPr>
        <sz val="12"/>
        <color theme="1"/>
        <rFont val="Calibri"/>
        <family val="2"/>
        <scheme val="minor"/>
      </rPr>
      <t xml:space="preserve">TA- Scorecard, columns </t>
    </r>
    <r>
      <rPr>
        <b/>
        <sz val="12"/>
        <color theme="1"/>
        <rFont val="Calibri"/>
        <family val="2"/>
        <scheme val="minor"/>
      </rPr>
      <t xml:space="preserve">D through G
</t>
    </r>
    <r>
      <rPr>
        <sz val="12"/>
        <color theme="1"/>
        <rFont val="Calibri"/>
        <family val="2"/>
        <scheme val="minor"/>
      </rPr>
      <t xml:space="preserve">7S&amp;C-Scorecard, columns </t>
    </r>
    <r>
      <rPr>
        <b/>
        <sz val="12"/>
        <color theme="1"/>
        <rFont val="Calibri"/>
        <family val="2"/>
        <scheme val="minor"/>
      </rPr>
      <t xml:space="preserve">D through G
</t>
    </r>
  </si>
  <si>
    <t>The last two columns in each Scorecard tab contain formulas which automatically compute the "As-Is" and "To-Be" architecture Profiles as these values are entered by user</t>
  </si>
  <si>
    <r>
      <t xml:space="preserve">     -     </t>
    </r>
    <r>
      <rPr>
        <i/>
        <sz val="12"/>
        <color theme="1"/>
        <rFont val="Calibri"/>
        <family val="2"/>
        <scheme val="minor"/>
      </rPr>
      <t xml:space="preserve">For more information on MITA Architecture Profiles, please refer to SS-A Companion Guide.  
</t>
    </r>
  </si>
  <si>
    <t xml:space="preserve">Send the completed Scorecards back to CMCS.
</t>
  </si>
  <si>
    <t>BR04 Terminate Business Relationship</t>
  </si>
  <si>
    <t>CM07 Authorize Referral</t>
  </si>
  <si>
    <t>CM08 Authorize Service</t>
  </si>
  <si>
    <t>MO</t>
  </si>
  <si>
    <t>Enterprise</t>
  </si>
  <si>
    <r>
      <t xml:space="preserve">When first opening a Scorecard tab, the appropriate </t>
    </r>
    <r>
      <rPr>
        <b/>
        <sz val="12"/>
        <color theme="1"/>
        <rFont val="Calibri"/>
        <family val="2"/>
        <scheme val="minor"/>
      </rPr>
      <t>Assessment Program</t>
    </r>
    <r>
      <rPr>
        <sz val="12"/>
        <color theme="1"/>
        <rFont val="Calibri"/>
        <family val="2"/>
        <scheme val="minor"/>
      </rPr>
      <t xml:space="preserve"> and </t>
    </r>
    <r>
      <rPr>
        <b/>
        <sz val="12"/>
        <color theme="1"/>
        <rFont val="Calibri"/>
        <family val="2"/>
        <scheme val="minor"/>
      </rPr>
      <t>State</t>
    </r>
    <r>
      <rPr>
        <sz val="12"/>
        <color theme="1"/>
        <rFont val="Calibri"/>
        <family val="2"/>
        <scheme val="minor"/>
      </rPr>
      <t xml:space="preserve"> should be set. This is done by clicking and selecting values in two (2) drop-down menus shown in Row 2 of each Scorecard tab. When a program is selected, the display will automatically update to show only the required rows  (i.e. the required Business Areas for the selected Assessment Program)
</t>
    </r>
    <r>
      <rPr>
        <b/>
        <i/>
        <sz val="12"/>
        <color theme="1"/>
        <rFont val="Calibri"/>
        <family val="2"/>
        <scheme val="minor"/>
      </rPr>
      <t xml:space="preserve">         -   Assessment Program </t>
    </r>
    <r>
      <rPr>
        <i/>
        <sz val="12"/>
        <color theme="1"/>
        <rFont val="Calibri"/>
        <family val="2"/>
        <scheme val="minor"/>
      </rPr>
      <t xml:space="preserve">enables tailoring of the MITA Business Processes based on the scope of the SMA programs under assessment. There  are 15 MITA Business Processes identified that are related to the HITECH program, therefore 15 Business processes will automatically be displayed when HITECH is selected in the Assessment Program Drop-down menu. If the Assessment Program selected is </t>
    </r>
    <r>
      <rPr>
        <b/>
        <i/>
        <sz val="12"/>
        <color theme="1"/>
        <rFont val="Calibri"/>
        <family val="2"/>
        <scheme val="minor"/>
      </rPr>
      <t>Enterprise</t>
    </r>
    <r>
      <rPr>
        <i/>
        <sz val="12"/>
        <color theme="1"/>
        <rFont val="Calibri"/>
        <family val="2"/>
        <scheme val="minor"/>
      </rPr>
      <t>, then all 10 Business Areas and all 80 business processes will be displayed in the BA Worksheet</t>
    </r>
  </si>
  <si>
    <t>Business Capability Question</t>
  </si>
  <si>
    <t>How accurate is the information in the process?</t>
  </si>
  <si>
    <t>How accessible is the information in the process?</t>
  </si>
  <si>
    <t>How efficient is the process?</t>
  </si>
  <si>
    <t>Is the process primarily manual or automatic?</t>
  </si>
  <si>
    <t>Does State Medicaid Agency use standards in the process?</t>
  </si>
  <si>
    <t>How does the State Medicaid Agency collaborate with other agencies or entities in performing the process?</t>
  </si>
  <si>
    <t>Business Category</t>
  </si>
  <si>
    <t>Standards Management</t>
  </si>
  <si>
    <t>Click to select Program</t>
  </si>
  <si>
    <t>Click to select State</t>
  </si>
  <si>
    <t>Is communication linguistically, culturally, and competency appropriate?</t>
  </si>
  <si>
    <t>Does the State Medicaid Agency collaborate with other agencies or entities in performing the process?</t>
  </si>
  <si>
    <t>How timely is the end-to-end process?</t>
  </si>
  <si>
    <t>What is the cost of the process compared to the benefits of the results?</t>
  </si>
  <si>
    <t>How accurate are the results of the process?</t>
  </si>
  <si>
    <t>Does the business process satisfy stakeholders?</t>
  </si>
  <si>
    <t>How timely is this end-to-end process?</t>
  </si>
  <si>
    <t>What is the cost to perform the process compared to the benefits of the results?</t>
  </si>
  <si>
    <t>Case Management</t>
  </si>
  <si>
    <t>Does the State Medicaid Agency use standards in the process?</t>
  </si>
  <si>
    <t>Medicaid Agency collaborate with other agencies or entities in performing the process?</t>
  </si>
  <si>
    <t>Authorization Determination</t>
  </si>
  <si>
    <t>How easy is it to change the business rules of Authorize Referral?</t>
  </si>
  <si>
    <t>Contractor Information Management</t>
  </si>
  <si>
    <t>How is the information regarding the Contractor information validated?</t>
  </si>
  <si>
    <t>What information does the inquiry and response convey?</t>
  </si>
  <si>
    <t>How formalized is the process?</t>
  </si>
  <si>
    <t>Contractor Support</t>
  </si>
  <si>
    <t>How central is the grievance and appeals process?</t>
  </si>
  <si>
    <t>Do contractors know how to access the grievance and appeals process?</t>
  </si>
  <si>
    <t>How does the State Medicaid Agency manage the process?</t>
  </si>
  <si>
    <t>Contract Management</t>
  </si>
  <si>
    <t>How integrated or central is the process?</t>
  </si>
  <si>
    <t>What is the primary mechanism for publication of the solicitation and communication with potential respondents?</t>
  </si>
  <si>
    <t>What is the primary mechanism for receipt of proposals and communication with respondents?</t>
  </si>
  <si>
    <t>How does the State Medicaid Agency verify proposal information?</t>
  </si>
  <si>
    <t>What is the primary mechanism for exchange of contract information?</t>
  </si>
  <si>
    <t>Provider Enrollment</t>
  </si>
  <si>
    <t>Is there a process for revalidation of credentials?</t>
  </si>
  <si>
    <t>How does the State Medicaid Agency verify credentials (e.g., college degree, license, certification, NPI, Employer Identification Number (EIN), Social Security Number (SSN))?</t>
  </si>
  <si>
    <t>What provider identifier is used?</t>
  </si>
  <si>
    <t>Does the State Medicaid Agency use required screening requirements?</t>
  </si>
  <si>
    <t>Does enrollment process meet state and federal regulations or policies?</t>
  </si>
  <si>
    <t>How does the applicant complete and submit the application?</t>
  </si>
  <si>
    <t>How does the State Medicaid Agency requests recoupment of monies in third party liability situations requested?</t>
  </si>
  <si>
    <t>What is the mode of communication?</t>
  </si>
  <si>
    <t>Accounts Receivable Management</t>
  </si>
  <si>
    <t>How does the State Medicaid Agency validate Third Party Liability (TPL) information?</t>
  </si>
  <si>
    <t>How integrated is the process?</t>
  </si>
  <si>
    <t>How does the State Medicaid Agency conduct coordination of benefits (COB)?</t>
  </si>
  <si>
    <t>Business Capability Description/Quality</t>
  </si>
  <si>
    <t>How satisfied are the stakeholders with the process?</t>
  </si>
  <si>
    <t>How accurate is the information available to the process?</t>
  </si>
  <si>
    <t>What is the cost of the process compared to the benefits of its results?</t>
  </si>
  <si>
    <t>Member Enrollment</t>
  </si>
  <si>
    <t>EE01 Determine Member Eligibility</t>
  </si>
  <si>
    <t>What is the ratio for the cost of eligibility determination compared to the value of the results?</t>
  </si>
  <si>
    <t>How satisfied are the stakeholders?</t>
  </si>
  <si>
    <t>Is the process primarily manual or automated?</t>
  </si>
  <si>
    <t>EE02 Enroll Member</t>
  </si>
  <si>
    <t>EE03 Disenroll Member</t>
  </si>
  <si>
    <t>EE04 Inquire Member Eligibility</t>
  </si>
  <si>
    <t>What is the media of communication with stakeholders involved in the recovery?</t>
  </si>
  <si>
    <t>Timeliness of Process</t>
  </si>
  <si>
    <t>How timely is the end-to-end process? Note: Due to the variables involved in estate recovery process (i.e., wills, lawsuits, claims and other procedural steps inherent in the probate process), it is difficult to estimate the end-to-end timeline</t>
  </si>
  <si>
    <t>Accounts Payable Management</t>
  </si>
  <si>
    <t>What methodology does SMA use to prepare the Capitation Premium payments?</t>
  </si>
  <si>
    <t>What is the source of the information?</t>
  </si>
  <si>
    <t>What format does SMA use for payments?</t>
  </si>
  <si>
    <t>Fiscal Management</t>
  </si>
  <si>
    <t>Member Support</t>
  </si>
  <si>
    <t>Payment and Reporting</t>
  </si>
  <si>
    <t>Claims Adjudication</t>
  </si>
  <si>
    <t>How easy is it to change edit business rules and criteria?</t>
  </si>
  <si>
    <t>What methodology is used for managing spend down calculations?</t>
  </si>
  <si>
    <t>How does the member present proof that it has incurred and/or paid health care bills?</t>
  </si>
  <si>
    <t>How does the State Medicaid Agency track payments for health care bills?</t>
  </si>
  <si>
    <t>How does the agency determine that the member has met the spend-down target?</t>
  </si>
  <si>
    <t>How does the State Medicaid Agency transmit that the member has met spend-down requirements to the claims payment processes and the provider community?</t>
  </si>
  <si>
    <t>How is clinical information requested and received when this information is required to process a transaction (claim, service authorization request, treatment plan) or for other processes?</t>
  </si>
  <si>
    <t>Does the clinical information accompany the transaction?</t>
  </si>
  <si>
    <t>Are validation activities manual or automatic?</t>
  </si>
  <si>
    <t>How does the State Medicaid Agency identify claims affected by a mass adjustment?</t>
  </si>
  <si>
    <t>How does the State Medicaid Agency apply adjustment to the claims?</t>
  </si>
  <si>
    <t>Compliance Management</t>
  </si>
  <si>
    <t>If sampling is used, what sampling algorithm is used?</t>
  </si>
  <si>
    <t>Plan Administration</t>
  </si>
  <si>
    <t>How adaptable is the process to change?</t>
  </si>
  <si>
    <t>Are goals and objectives traceable throughout the organization?</t>
  </si>
  <si>
    <t>Are policies traceable throughout the organization?</t>
  </si>
  <si>
    <t>Is Medicaid State Plan traceable throughout the organization?</t>
  </si>
  <si>
    <t>Health Plan Administration</t>
  </si>
  <si>
    <t>Does the State Medicaid Agency use Plan of Action with Milestones (POAM)?</t>
  </si>
  <si>
    <t>How does the State Medicaid Agency publish performance measures?</t>
  </si>
  <si>
    <t>How flexible are the contents of the health benefit package?</t>
  </si>
  <si>
    <t>Provider Information Management</t>
  </si>
  <si>
    <t>How does the State Medicaid Agency validate application information?</t>
  </si>
  <si>
    <t>Provider Support</t>
  </si>
  <si>
    <t>Do providers know how to access the grievance and appeals process?</t>
  </si>
  <si>
    <t>How accessible is the information required for the process?</t>
  </si>
  <si>
    <t>Is the process manual or automatic?</t>
  </si>
  <si>
    <t>Business Capability Description</t>
  </si>
  <si>
    <r>
      <t xml:space="preserve">Save the completed workbook when data entry is complete. Append state full name (or state abbreviation enclosed in parenthesis) to the file name when saving the workbook for identification (e.g. for the State of Utah, save file as </t>
    </r>
    <r>
      <rPr>
        <b/>
        <sz val="12"/>
        <color theme="1"/>
        <rFont val="Calibri"/>
        <family val="2"/>
        <scheme val="minor"/>
      </rPr>
      <t xml:space="preserve">Scorecard_Templates_Utah.xlsm </t>
    </r>
    <r>
      <rPr>
        <sz val="12"/>
        <color theme="1"/>
        <rFont val="Calibri"/>
        <family val="2"/>
        <scheme val="minor"/>
      </rPr>
      <t>or Scorecard_Templates_(</t>
    </r>
    <r>
      <rPr>
        <b/>
        <sz val="12"/>
        <color theme="1"/>
        <rFont val="Calibri"/>
        <family val="2"/>
        <scheme val="minor"/>
      </rPr>
      <t>UT</t>
    </r>
    <r>
      <rPr>
        <sz val="12"/>
        <color theme="1"/>
        <rFont val="Calibri"/>
        <family val="2"/>
        <scheme val="minor"/>
      </rPr>
      <t>).xlsm)</t>
    </r>
  </si>
  <si>
    <r>
      <t xml:space="preserve">This  Workbook (aka eSS-A Scorecard Template) contains five tabs:  </t>
    </r>
    <r>
      <rPr>
        <b/>
        <sz val="12"/>
        <color theme="1"/>
        <rFont val="Calibri"/>
        <family val="2"/>
        <scheme val="minor"/>
      </rPr>
      <t>Instructions</t>
    </r>
    <r>
      <rPr>
        <sz val="12"/>
        <color theme="1"/>
        <rFont val="Calibri"/>
        <family val="2"/>
        <scheme val="minor"/>
      </rPr>
      <t xml:space="preserve"> (this tab), </t>
    </r>
    <r>
      <rPr>
        <b/>
        <sz val="12"/>
        <color theme="1"/>
        <rFont val="Calibri"/>
        <family val="2"/>
        <scheme val="minor"/>
      </rPr>
      <t>BA-Scorecard</t>
    </r>
    <r>
      <rPr>
        <sz val="12"/>
        <color theme="1"/>
        <rFont val="Calibri"/>
        <family val="2"/>
        <scheme val="minor"/>
      </rPr>
      <t xml:space="preserve"> (Business Architecture),  </t>
    </r>
    <r>
      <rPr>
        <b/>
        <sz val="12"/>
        <color theme="1"/>
        <rFont val="Calibri"/>
        <family val="2"/>
        <scheme val="minor"/>
      </rPr>
      <t xml:space="preserve">IA-Scorecard </t>
    </r>
    <r>
      <rPr>
        <sz val="12"/>
        <color theme="1"/>
        <rFont val="Calibri"/>
        <family val="2"/>
        <scheme val="minor"/>
      </rPr>
      <t xml:space="preserve">(Information Architecture), </t>
    </r>
    <r>
      <rPr>
        <b/>
        <sz val="12"/>
        <color theme="1"/>
        <rFont val="Calibri"/>
        <family val="2"/>
        <scheme val="minor"/>
      </rPr>
      <t>TA-Scorecard</t>
    </r>
    <r>
      <rPr>
        <sz val="12"/>
        <color theme="1"/>
        <rFont val="Calibri"/>
        <family val="2"/>
        <scheme val="minor"/>
      </rPr>
      <t xml:space="preserve"> (Technical Architecture),and </t>
    </r>
    <r>
      <rPr>
        <b/>
        <sz val="12"/>
        <color theme="1"/>
        <rFont val="Calibri"/>
        <family val="2"/>
        <scheme val="minor"/>
      </rPr>
      <t>S&amp;C-Scorecard</t>
    </r>
    <r>
      <rPr>
        <sz val="12"/>
        <color theme="1"/>
        <rFont val="Calibri"/>
        <family val="2"/>
        <scheme val="minor"/>
      </rPr>
      <t xml:space="preserve"> (Standards and Conditions for Medicaid IT)
</t>
    </r>
  </si>
  <si>
    <r>
      <rPr>
        <b/>
        <sz val="22"/>
        <color theme="1"/>
        <rFont val="Calibri"/>
        <family val="2"/>
        <scheme val="minor"/>
      </rPr>
      <t>Standards and Conditions for Medicaid IT Scorecard</t>
    </r>
    <r>
      <rPr>
        <b/>
        <sz val="16"/>
        <color theme="1"/>
        <rFont val="Calibri"/>
        <family val="2"/>
        <scheme val="minor"/>
      </rPr>
      <t xml:space="preserve">
</t>
    </r>
    <r>
      <rPr>
        <b/>
        <i/>
        <sz val="20"/>
        <color rgb="FFC00000"/>
        <rFont val="Calibri"/>
        <family val="2"/>
        <scheme val="minor"/>
      </rPr>
      <t>Note: Before starting, select Assessment Program and State ID below</t>
    </r>
  </si>
  <si>
    <t>Standards and Conditions</t>
  </si>
  <si>
    <t>S&amp;C Capability Level</t>
  </si>
  <si>
    <t>S&amp;C Profile by Business Area</t>
  </si>
  <si>
    <t xml:space="preserve">Instructions for filling out the electronic State Self-Assessment (eSS-A) Scorecards :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</si>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</sst>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b/>
      <sz val="12"/>
      <color theme="1"/>
      <name val="Calibri"/>
      <family val="2"/>
      <scheme val="minor"/>
    </font>
    <font>
      <sz val="10"/>
      <color theme="1"/>
      <name val="Arial"/>
      <family val="2"/>
    </font>
    <font>
      <sz val="11"/>
      <color rgb="FF000000"/>
      <name val="Calibri"/>
      <family val="2"/>
    </font>
    <font>
      <sz val="11"/>
      <color rgb="FF000000"/>
      <name val="Calibri"/>
      <family val="2"/>
      <scheme val="minor"/>
    </font>
    <font>
      <sz val="10"/>
      <name val="Arial"/>
      <family val="2"/>
    </font>
    <font>
      <b/>
      <sz val="14"/>
      <color theme="1"/>
      <name val="Calibri"/>
      <family val="2"/>
      <scheme val="minor"/>
    </font>
    <font>
      <b/>
      <sz val="16"/>
      <color theme="1"/>
      <name val="Calibri"/>
      <family val="2"/>
      <scheme val="minor"/>
    </font>
    <font>
      <sz val="11"/>
      <color theme="0"/>
      <name val="Calibri"/>
      <family val="2"/>
      <scheme val="minor"/>
    </font>
    <font>
      <sz val="11"/>
      <name val="Calibri"/>
      <family val="2"/>
      <scheme val="minor"/>
    </font>
    <font>
      <b/>
      <sz val="11"/>
      <name val="Calibri"/>
      <family val="2"/>
      <scheme val="minor"/>
    </font>
    <font>
      <sz val="12"/>
      <name val="Calibri"/>
      <family val="2"/>
      <scheme val="minor"/>
    </font>
    <font>
      <b/>
      <sz val="22"/>
      <color theme="1"/>
      <name val="Calibri"/>
      <family val="2"/>
      <scheme val="minor"/>
    </font>
    <font>
      <b/>
      <i/>
      <sz val="20"/>
      <color rgb="FFC00000"/>
      <name val="Calibri"/>
      <family val="2"/>
      <scheme val="minor"/>
    </font>
    <font>
      <b/>
      <sz val="22"/>
      <name val="Calibri"/>
      <family val="2"/>
      <scheme val="minor"/>
    </font>
    <font>
      <sz val="12"/>
      <color theme="1"/>
      <name val="Calibri"/>
      <family val="2"/>
      <scheme val="minor"/>
    </font>
    <font>
      <b/>
      <sz val="12"/>
      <color rgb="FFFF0000"/>
      <name val="Calibri"/>
      <family val="2"/>
      <scheme val="minor"/>
    </font>
    <font>
      <i/>
      <sz val="12"/>
      <color theme="1"/>
      <name val="Calibri"/>
      <family val="2"/>
      <scheme val="minor"/>
    </font>
    <font>
      <b/>
      <i/>
      <sz val="12"/>
      <color theme="1"/>
      <name val="Calibri"/>
      <family val="2"/>
      <scheme val="minor"/>
    </font>
    <font>
      <b/>
      <sz val="14"/>
      <name val="Calibri"/>
      <family val="2"/>
      <scheme val="minor"/>
    </font>
    <font>
      <b/>
      <i/>
      <sz val="14"/>
      <name val="Calibri"/>
      <family val="2"/>
      <scheme val="minor"/>
    </font>
    <font>
      <b/>
      <i/>
      <sz val="12"/>
      <name val="Calibri"/>
      <family val="2"/>
      <scheme val="minor"/>
    </font>
  </fonts>
  <fills count="7">
    <fill>
      <patternFill patternType="none"/>
    </fill>
    <fill>
      <patternFill patternType="gray125"/>
    </fill>
    <fill>
      <patternFill patternType="solid">
        <fgColor rgb="FFF8CA08"/>
        <bgColor indexed="64"/>
      </patternFill>
    </fill>
    <fill>
      <patternFill patternType="solid">
        <fgColor theme="4" tint="0.79998168889431442"/>
        <bgColor indexed="64"/>
      </patternFill>
    </fill>
    <fill>
      <patternFill patternType="solid">
        <fgColor rgb="FF6FA0DB"/>
        <bgColor indexed="64"/>
      </patternFill>
    </fill>
    <fill>
      <patternFill patternType="solid">
        <fgColor theme="0" tint="-0.14999847407452621"/>
        <bgColor indexed="64"/>
      </patternFill>
    </fill>
    <fill>
      <patternFill patternType="solid">
        <fgColor theme="0"/>
        <bgColor indexed="64"/>
      </patternFill>
    </fill>
  </fills>
  <borders count="51">
    <border>
      <left/>
      <right/>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1"/>
      </left>
      <right style="thin">
        <color theme="1"/>
      </right>
      <top style="thin">
        <color theme="1"/>
      </top>
      <bottom style="thin">
        <color theme="1"/>
      </bottom>
      <diagonal/>
    </border>
    <border>
      <left style="thin">
        <color rgb="FFEEECE1"/>
      </left>
      <right style="thin">
        <color rgb="FFEEECE1"/>
      </right>
      <top/>
      <bottom style="thin">
        <color rgb="FFEEECE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style="thin">
        <color auto="1"/>
      </top>
      <bottom/>
      <diagonal/>
    </border>
    <border>
      <left style="thin">
        <color auto="1"/>
      </left>
      <right style="thin">
        <color auto="1"/>
      </right>
      <top style="thick">
        <color auto="1"/>
      </top>
      <bottom style="thin">
        <color auto="1"/>
      </bottom>
      <diagonal/>
    </border>
    <border>
      <left style="thin">
        <color auto="1"/>
      </left>
      <right style="thin">
        <color auto="1"/>
      </right>
      <top style="thin">
        <color auto="1"/>
      </top>
      <bottom style="thick">
        <color auto="1"/>
      </bottom>
      <diagonal/>
    </border>
    <border>
      <left style="thin">
        <color auto="1"/>
      </left>
      <right/>
      <top style="thick">
        <color auto="1"/>
      </top>
      <bottom style="thin">
        <color auto="1"/>
      </bottom>
      <diagonal/>
    </border>
    <border>
      <left style="thin">
        <color auto="1"/>
      </left>
      <right/>
      <top style="thin">
        <color auto="1"/>
      </top>
      <bottom style="thick">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auto="1"/>
      </left>
      <right style="thin">
        <color auto="1"/>
      </right>
      <top/>
      <bottom style="thick">
        <color auto="1"/>
      </bottom>
      <diagonal/>
    </border>
    <border>
      <left style="thin">
        <color auto="1"/>
      </left>
      <right style="thin">
        <color auto="1"/>
      </right>
      <top style="thick">
        <color auto="1"/>
      </top>
      <bottom/>
      <diagonal/>
    </border>
    <border>
      <left style="thin">
        <color auto="1"/>
      </left>
      <right style="thin">
        <color auto="1"/>
      </right>
      <top style="thin">
        <color auto="1"/>
      </top>
      <bottom style="medium">
        <color indexed="64"/>
      </bottom>
      <diagonal/>
    </border>
    <border>
      <left style="thin">
        <color auto="1"/>
      </left>
      <right/>
      <top style="thick">
        <color auto="1"/>
      </top>
      <bottom/>
      <diagonal/>
    </border>
    <border>
      <left style="thick">
        <color auto="1"/>
      </left>
      <right/>
      <top style="thick">
        <color auto="1"/>
      </top>
      <bottom style="thin">
        <color auto="1"/>
      </bottom>
      <diagonal/>
    </border>
    <border>
      <left/>
      <right/>
      <top style="thick">
        <color auto="1"/>
      </top>
      <bottom style="thin">
        <color auto="1"/>
      </bottom>
      <diagonal/>
    </border>
    <border>
      <left/>
      <right style="thin">
        <color auto="1"/>
      </right>
      <top style="thick">
        <color auto="1"/>
      </top>
      <bottom style="thin">
        <color auto="1"/>
      </bottom>
      <diagonal/>
    </border>
    <border>
      <left/>
      <right style="thick">
        <color auto="1"/>
      </right>
      <top style="thick">
        <color auto="1"/>
      </top>
      <bottom/>
      <diagonal/>
    </border>
    <border>
      <left style="thick">
        <color auto="1"/>
      </left>
      <right/>
      <top style="thin">
        <color auto="1"/>
      </top>
      <bottom style="thin">
        <color auto="1"/>
      </bottom>
      <diagonal/>
    </border>
    <border>
      <left/>
      <right style="thick">
        <color auto="1"/>
      </right>
      <top/>
      <bottom/>
      <diagonal/>
    </border>
    <border>
      <left style="thick">
        <color auto="1"/>
      </left>
      <right style="thin">
        <color auto="1"/>
      </right>
      <top style="thin">
        <color auto="1"/>
      </top>
      <bottom/>
      <diagonal/>
    </border>
    <border>
      <left/>
      <right style="thick">
        <color auto="1"/>
      </right>
      <top/>
      <bottom style="thin">
        <color auto="1"/>
      </bottom>
      <diagonal/>
    </border>
    <border>
      <left style="thick">
        <color auto="1"/>
      </left>
      <right style="thin">
        <color auto="1"/>
      </right>
      <top/>
      <bottom/>
      <diagonal/>
    </border>
    <border>
      <left style="thin">
        <color auto="1"/>
      </left>
      <right style="thick">
        <color auto="1"/>
      </right>
      <top style="thin">
        <color auto="1"/>
      </top>
      <bottom/>
      <diagonal/>
    </border>
    <border>
      <left style="thick">
        <color auto="1"/>
      </left>
      <right style="thin">
        <color auto="1"/>
      </right>
      <top style="thick">
        <color auto="1"/>
      </top>
      <bottom/>
      <diagonal/>
    </border>
    <border>
      <left style="thin">
        <color auto="1"/>
      </left>
      <right style="thick">
        <color auto="1"/>
      </right>
      <top style="thick">
        <color auto="1"/>
      </top>
      <bottom/>
      <diagonal/>
    </border>
    <border>
      <left style="thick">
        <color auto="1"/>
      </left>
      <right style="thin">
        <color auto="1"/>
      </right>
      <top style="thin">
        <color auto="1"/>
      </top>
      <bottom style="thin">
        <color auto="1"/>
      </bottom>
      <diagonal/>
    </border>
    <border>
      <left style="thin">
        <color auto="1"/>
      </left>
      <right style="thick">
        <color auto="1"/>
      </right>
      <top/>
      <bottom/>
      <diagonal/>
    </border>
    <border>
      <left style="thick">
        <color auto="1"/>
      </left>
      <right style="thin">
        <color auto="1"/>
      </right>
      <top style="thin">
        <color auto="1"/>
      </top>
      <bottom style="thick">
        <color auto="1"/>
      </bottom>
      <diagonal/>
    </border>
    <border>
      <left style="thin">
        <color auto="1"/>
      </left>
      <right style="thick">
        <color auto="1"/>
      </right>
      <top/>
      <bottom style="thick">
        <color auto="1"/>
      </bottom>
      <diagonal/>
    </border>
    <border>
      <left style="thick">
        <color auto="1"/>
      </left>
      <right style="thin">
        <color auto="1"/>
      </right>
      <top style="thick">
        <color auto="1"/>
      </top>
      <bottom style="thin">
        <color auto="1"/>
      </bottom>
      <diagonal/>
    </border>
    <border>
      <left style="thick">
        <color auto="1"/>
      </left>
      <right style="thin">
        <color auto="1"/>
      </right>
      <top/>
      <bottom style="thin">
        <color auto="1"/>
      </bottom>
      <diagonal/>
    </border>
  </borders>
  <cellStyleXfs count="1">
    <xf numFmtId="0" fontId="0" fillId="0" borderId="0"/>
  </cellStyleXfs>
  <cellXfs count="296">
    <xf numFmtId="0" fontId="0" fillId="0" borderId="0" xfId="0"/>
    <xf numFmtId="0" fontId="0" fillId="0" borderId="0" xfId="0" applyAlignment="1">
      <alignment horizontal="center"/>
    </xf>
    <xf numFmtId="0" fontId="4" fillId="0" borderId="9" xfId="0" applyFont="1" applyFill="1" applyBorder="1" applyAlignment="1" applyProtection="1">
      <alignment vertical="center" wrapText="1"/>
    </xf>
    <xf numFmtId="0" fontId="4" fillId="0" borderId="8" xfId="0" applyFont="1" applyFill="1" applyBorder="1" applyAlignment="1" applyProtection="1">
      <alignment vertical="center" wrapText="1"/>
    </xf>
    <xf numFmtId="0" fontId="0" fillId="0" borderId="0" xfId="0" applyAlignment="1">
      <alignment horizontal="center" vertical="center"/>
    </xf>
    <xf numFmtId="0" fontId="0" fillId="0" borderId="2" xfId="0" applyFont="1" applyFill="1" applyBorder="1" applyAlignment="1" applyProtection="1">
      <alignment horizontal="center" vertical="center" wrapText="1"/>
      <protection locked="0"/>
    </xf>
    <xf numFmtId="0" fontId="5" fillId="0" borderId="2" xfId="0" applyFont="1" applyFill="1" applyBorder="1" applyAlignment="1" applyProtection="1">
      <alignment horizontal="center" vertical="center" wrapText="1"/>
      <protection locked="0"/>
    </xf>
    <xf numFmtId="0" fontId="0" fillId="0" borderId="2" xfId="0" applyBorder="1" applyAlignment="1" applyProtection="1">
      <alignment horizontal="center" vertical="center"/>
      <protection locked="0"/>
    </xf>
    <xf numFmtId="0" fontId="2" fillId="4" borderId="2" xfId="0" applyFont="1" applyFill="1" applyBorder="1" applyAlignment="1" applyProtection="1">
      <alignment horizontal="center" vertical="top" wrapText="1"/>
    </xf>
    <xf numFmtId="0" fontId="8" fillId="2" borderId="6" xfId="0" applyFont="1" applyFill="1" applyBorder="1" applyAlignment="1" applyProtection="1">
      <alignment horizontal="left" vertical="center" wrapText="1"/>
    </xf>
    <xf numFmtId="0" fontId="8" fillId="2" borderId="6" xfId="0" applyFont="1" applyFill="1" applyBorder="1" applyAlignment="1" applyProtection="1">
      <alignment horizontal="right" vertical="center" wrapText="1" indent="1"/>
    </xf>
    <xf numFmtId="0" fontId="8" fillId="2" borderId="11" xfId="0" applyFont="1" applyFill="1" applyBorder="1" applyAlignment="1" applyProtection="1">
      <alignment horizontal="center" vertical="center" wrapText="1"/>
    </xf>
    <xf numFmtId="0" fontId="8" fillId="2" borderId="15" xfId="0" applyFont="1" applyFill="1" applyBorder="1" applyAlignment="1" applyProtection="1">
      <alignment horizontal="center" vertical="center" wrapText="1"/>
    </xf>
    <xf numFmtId="0" fontId="8" fillId="2" borderId="4" xfId="0" applyFont="1" applyFill="1" applyBorder="1" applyAlignment="1" applyProtection="1">
      <alignment horizontal="center" vertical="center" wrapText="1"/>
    </xf>
    <xf numFmtId="0" fontId="9" fillId="0" borderId="0" xfId="0" applyFont="1" applyProtection="1">
      <protection locked="0"/>
    </xf>
    <xf numFmtId="0" fontId="9" fillId="0" borderId="0" xfId="0" applyFont="1" applyAlignment="1" applyProtection="1">
      <alignment horizontal="center" vertical="center"/>
      <protection locked="0"/>
    </xf>
    <xf numFmtId="0" fontId="10" fillId="0" borderId="0" xfId="0" applyFont="1" applyBorder="1" applyProtection="1"/>
    <xf numFmtId="0" fontId="10" fillId="0" borderId="0" xfId="0" applyFont="1" applyBorder="1" applyAlignment="1" applyProtection="1">
      <alignment horizontal="center" vertical="center"/>
    </xf>
    <xf numFmtId="0" fontId="12" fillId="0" borderId="0" xfId="0" applyFont="1" applyBorder="1" applyProtection="1"/>
    <xf numFmtId="0" fontId="10" fillId="5" borderId="0" xfId="0" applyFont="1" applyFill="1" applyBorder="1" applyAlignment="1" applyProtection="1">
      <alignment horizontal="left" vertical="top"/>
    </xf>
    <xf numFmtId="0" fontId="10" fillId="0" borderId="0" xfId="0" applyFont="1" applyBorder="1" applyAlignment="1" applyProtection="1">
      <alignment horizontal="left" vertical="top"/>
    </xf>
    <xf numFmtId="0" fontId="11" fillId="0" borderId="0" xfId="0" applyFont="1" applyBorder="1" applyProtection="1"/>
    <xf numFmtId="0" fontId="10" fillId="0" borderId="0" xfId="0" applyFont="1" applyFill="1" applyBorder="1" applyAlignment="1" applyProtection="1">
      <alignment horizontal="left" vertical="top"/>
    </xf>
    <xf numFmtId="0" fontId="10" fillId="0" borderId="0" xfId="0" applyFont="1" applyFill="1" applyBorder="1" applyAlignment="1" applyProtection="1">
      <alignment horizontal="center" vertical="center"/>
    </xf>
    <xf numFmtId="0" fontId="10" fillId="5" borderId="0" xfId="0" applyFont="1" applyFill="1" applyBorder="1" applyAlignment="1" applyProtection="1">
      <alignment horizontal="left" vertical="center"/>
    </xf>
    <xf numFmtId="0" fontId="5" fillId="5" borderId="2" xfId="0" applyFont="1" applyFill="1" applyBorder="1" applyAlignment="1" applyProtection="1">
      <alignment horizontal="center" vertical="center" wrapText="1"/>
      <protection locked="0"/>
    </xf>
    <xf numFmtId="0" fontId="0" fillId="5" borderId="2" xfId="0" applyFont="1" applyFill="1" applyBorder="1" applyAlignment="1" applyProtection="1">
      <alignment horizontal="center" vertical="center" wrapText="1"/>
      <protection locked="0"/>
    </xf>
    <xf numFmtId="0" fontId="0" fillId="5" borderId="2" xfId="0"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2" fillId="2" borderId="5" xfId="0" applyFont="1" applyFill="1" applyBorder="1" applyAlignment="1" applyProtection="1">
      <alignment horizontal="center" vertical="top" wrapText="1"/>
    </xf>
    <xf numFmtId="0" fontId="0" fillId="5" borderId="17" xfId="0" applyFont="1" applyFill="1" applyBorder="1" applyAlignment="1" applyProtection="1">
      <alignment horizontal="center" vertical="center" wrapText="1"/>
      <protection locked="0"/>
    </xf>
    <xf numFmtId="0" fontId="0" fillId="5" borderId="18" xfId="0" applyFont="1" applyFill="1" applyBorder="1" applyAlignment="1" applyProtection="1">
      <alignment horizontal="center" vertical="center" wrapText="1"/>
      <protection locked="0"/>
    </xf>
    <xf numFmtId="0" fontId="0" fillId="0" borderId="17" xfId="0" applyFont="1" applyFill="1" applyBorder="1" applyAlignment="1" applyProtection="1">
      <alignment horizontal="center" vertical="center" wrapText="1"/>
      <protection locked="0"/>
    </xf>
    <xf numFmtId="0" fontId="0" fillId="0" borderId="18" xfId="0" applyFont="1" applyFill="1" applyBorder="1" applyAlignment="1" applyProtection="1">
      <alignment horizontal="center" vertical="center" wrapText="1"/>
      <protection locked="0"/>
    </xf>
    <xf numFmtId="0" fontId="0" fillId="5" borderId="17" xfId="0" applyFill="1" applyBorder="1" applyAlignment="1" applyProtection="1">
      <alignment horizontal="center" vertical="center"/>
      <protection locked="0"/>
    </xf>
    <xf numFmtId="0" fontId="0" fillId="5" borderId="18" xfId="0" applyFill="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7" xfId="0" applyFill="1" applyBorder="1" applyAlignment="1" applyProtection="1">
      <alignment horizontal="center" vertical="center"/>
      <protection locked="0"/>
    </xf>
    <xf numFmtId="0" fontId="0" fillId="0" borderId="18" xfId="0" applyFill="1" applyBorder="1" applyAlignment="1" applyProtection="1">
      <alignment horizontal="center" vertical="center"/>
      <protection locked="0"/>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0" fontId="2" fillId="2" borderId="4" xfId="0" applyFont="1" applyFill="1" applyBorder="1" applyAlignment="1" applyProtection="1">
      <alignment horizontal="center" vertical="top" wrapText="1"/>
    </xf>
    <xf numFmtId="0" fontId="8" fillId="2" borderId="11" xfId="0" applyFont="1" applyFill="1" applyBorder="1" applyAlignment="1" applyProtection="1">
      <alignment horizontal="right" vertical="center" wrapText="1"/>
    </xf>
    <xf numFmtId="0" fontId="15" fillId="2" borderId="7" xfId="0" applyFont="1" applyFill="1" applyBorder="1" applyAlignment="1" applyProtection="1">
      <alignment horizontal="left" vertical="center" wrapText="1" indent="1"/>
    </xf>
    <xf numFmtId="0" fontId="0" fillId="5" borderId="17" xfId="0" applyFont="1" applyFill="1" applyBorder="1" applyAlignment="1" applyProtection="1">
      <alignment vertical="center" wrapText="1"/>
    </xf>
    <xf numFmtId="0" fontId="0" fillId="5" borderId="2" xfId="0" applyFont="1" applyFill="1" applyBorder="1" applyAlignment="1" applyProtection="1">
      <alignment vertical="center" wrapText="1"/>
    </xf>
    <xf numFmtId="0" fontId="0" fillId="5" borderId="18" xfId="0" applyFont="1" applyFill="1" applyBorder="1" applyAlignment="1" applyProtection="1">
      <alignment vertical="center" wrapText="1"/>
    </xf>
    <xf numFmtId="0" fontId="0" fillId="0" borderId="17" xfId="0" applyFont="1" applyFill="1" applyBorder="1" applyAlignment="1" applyProtection="1">
      <alignment vertical="center" wrapText="1"/>
    </xf>
    <xf numFmtId="0" fontId="0" fillId="0" borderId="2" xfId="0" applyFont="1" applyFill="1" applyBorder="1" applyAlignment="1" applyProtection="1">
      <alignment vertical="center" wrapText="1"/>
    </xf>
    <xf numFmtId="0" fontId="0" fillId="0" borderId="18" xfId="0" applyFont="1" applyFill="1" applyBorder="1" applyAlignment="1" applyProtection="1">
      <alignment vertical="center" wrapText="1"/>
    </xf>
    <xf numFmtId="0" fontId="2" fillId="4" borderId="4" xfId="0" applyFont="1" applyFill="1" applyBorder="1" applyAlignment="1" applyProtection="1">
      <alignment horizontal="center" vertical="top" wrapText="1"/>
    </xf>
    <xf numFmtId="0" fontId="7" fillId="3" borderId="1" xfId="0" applyFont="1" applyFill="1" applyBorder="1" applyAlignment="1" applyProtection="1">
      <alignment vertical="center"/>
    </xf>
    <xf numFmtId="0" fontId="7" fillId="3" borderId="1" xfId="0" applyFont="1" applyFill="1" applyBorder="1" applyAlignment="1" applyProtection="1">
      <alignment horizontal="center" vertical="center" wrapText="1"/>
    </xf>
    <xf numFmtId="0" fontId="0" fillId="0" borderId="0" xfId="0" applyProtection="1"/>
    <xf numFmtId="0" fontId="7" fillId="3" borderId="8" xfId="0" applyFont="1" applyFill="1" applyBorder="1" applyAlignment="1" applyProtection="1">
      <alignment vertical="center"/>
    </xf>
    <xf numFmtId="0" fontId="1" fillId="3" borderId="8" xfId="0" applyFont="1" applyFill="1" applyBorder="1" applyAlignment="1" applyProtection="1">
      <alignment horizontal="center" vertical="center" wrapText="1"/>
    </xf>
    <xf numFmtId="0" fontId="0" fillId="0" borderId="1" xfId="0" applyBorder="1" applyProtection="1"/>
    <xf numFmtId="0" fontId="0" fillId="0" borderId="1" xfId="0" applyBorder="1" applyAlignment="1" applyProtection="1">
      <alignment vertical="center"/>
    </xf>
    <xf numFmtId="0" fontId="0" fillId="0" borderId="8" xfId="0" applyBorder="1" applyProtection="1"/>
    <xf numFmtId="0" fontId="9" fillId="0" borderId="0" xfId="0" applyFont="1" applyAlignment="1" applyProtection="1">
      <alignment horizontal="center" vertical="center"/>
    </xf>
    <xf numFmtId="0" fontId="9" fillId="0" borderId="0" xfId="0" applyFont="1" applyProtection="1"/>
    <xf numFmtId="0" fontId="5" fillId="5" borderId="17" xfId="0" applyFont="1" applyFill="1" applyBorder="1" applyAlignment="1" applyProtection="1">
      <alignment horizontal="left" vertical="center" wrapText="1"/>
      <protection locked="0"/>
    </xf>
    <xf numFmtId="0" fontId="0" fillId="0" borderId="0" xfId="0" applyAlignment="1" applyProtection="1">
      <alignment horizontal="center"/>
    </xf>
    <xf numFmtId="0" fontId="0" fillId="0" borderId="17" xfId="0" applyFont="1" applyBorder="1" applyAlignment="1" applyProtection="1">
      <alignment horizontal="center" vertical="center" wrapText="1"/>
      <protection locked="0"/>
    </xf>
    <xf numFmtId="0" fontId="0" fillId="0" borderId="2" xfId="0" applyFont="1" applyBorder="1" applyAlignment="1" applyProtection="1">
      <alignment horizontal="center" vertical="center" wrapText="1"/>
      <protection locked="0"/>
    </xf>
    <xf numFmtId="0" fontId="0" fillId="0" borderId="18" xfId="0" applyFont="1" applyBorder="1" applyAlignment="1" applyProtection="1">
      <alignment horizontal="center" vertical="center" wrapText="1"/>
      <protection locked="0"/>
    </xf>
    <xf numFmtId="0" fontId="3" fillId="5" borderId="2" xfId="0" applyFont="1" applyFill="1" applyBorder="1" applyAlignment="1" applyProtection="1">
      <alignment horizontal="center" vertical="center" wrapText="1"/>
      <protection locked="0"/>
    </xf>
    <xf numFmtId="0" fontId="3" fillId="5" borderId="18" xfId="0" applyFont="1" applyFill="1" applyBorder="1" applyAlignment="1" applyProtection="1">
      <alignment horizontal="center" vertical="center" wrapText="1"/>
      <protection locked="0"/>
    </xf>
    <xf numFmtId="0" fontId="3" fillId="0" borderId="17" xfId="0" applyFont="1" applyBorder="1" applyAlignment="1" applyProtection="1">
      <alignment horizontal="center" vertical="center" wrapText="1"/>
      <protection locked="0"/>
    </xf>
    <xf numFmtId="0" fontId="3" fillId="0" borderId="2" xfId="0" applyFont="1" applyBorder="1" applyAlignment="1" applyProtection="1">
      <alignment horizontal="center" vertical="center" wrapText="1"/>
      <protection locked="0"/>
    </xf>
    <xf numFmtId="0" fontId="3" fillId="0" borderId="18" xfId="0" applyFont="1" applyBorder="1" applyAlignment="1" applyProtection="1">
      <alignment horizontal="center" vertical="center" wrapText="1"/>
      <protection locked="0"/>
    </xf>
    <xf numFmtId="0" fontId="3" fillId="5" borderId="17" xfId="0" applyFont="1" applyFill="1" applyBorder="1" applyAlignment="1" applyProtection="1">
      <alignment horizontal="center" vertical="center" wrapText="1"/>
      <protection locked="0"/>
    </xf>
    <xf numFmtId="0" fontId="0" fillId="0" borderId="0" xfId="0" applyFont="1" applyAlignment="1">
      <alignment vertical="top" wrapText="1"/>
    </xf>
    <xf numFmtId="0" fontId="0" fillId="0" borderId="21" xfId="0" applyBorder="1" applyAlignment="1">
      <alignment horizontal="left" vertical="center"/>
    </xf>
    <xf numFmtId="0" fontId="0" fillId="0" borderId="23" xfId="0" applyBorder="1" applyAlignment="1">
      <alignment horizontal="center" vertical="top"/>
    </xf>
    <xf numFmtId="0" fontId="16" fillId="0" borderId="0" xfId="0" applyFont="1" applyBorder="1" applyAlignment="1">
      <alignment vertical="top" wrapText="1"/>
    </xf>
    <xf numFmtId="0" fontId="1" fillId="0" borderId="27" xfId="0" applyFont="1" applyBorder="1" applyAlignment="1">
      <alignment vertical="top" wrapText="1"/>
    </xf>
    <xf numFmtId="0" fontId="0" fillId="0" borderId="22" xfId="0" applyBorder="1"/>
    <xf numFmtId="0" fontId="0" fillId="0" borderId="24" xfId="0" applyBorder="1"/>
    <xf numFmtId="0" fontId="0" fillId="0" borderId="28" xfId="0" applyFont="1" applyBorder="1" applyAlignment="1">
      <alignment vertical="top" wrapText="1"/>
    </xf>
    <xf numFmtId="0" fontId="0" fillId="0" borderId="26" xfId="0" applyBorder="1"/>
    <xf numFmtId="0" fontId="0" fillId="0" borderId="25" xfId="0" applyBorder="1" applyAlignment="1">
      <alignment horizontal="center" vertical="top"/>
    </xf>
    <xf numFmtId="14" fontId="0" fillId="5" borderId="17" xfId="0" applyNumberFormat="1" applyFill="1" applyBorder="1" applyAlignment="1" applyProtection="1">
      <alignment horizontal="center" vertical="center"/>
      <protection locked="0"/>
    </xf>
    <xf numFmtId="14" fontId="0" fillId="5" borderId="2" xfId="0" applyNumberFormat="1" applyFill="1" applyBorder="1" applyAlignment="1" applyProtection="1">
      <alignment horizontal="center" vertical="center"/>
      <protection locked="0"/>
    </xf>
    <xf numFmtId="14" fontId="0" fillId="5" borderId="18" xfId="0" applyNumberFormat="1" applyFill="1" applyBorder="1" applyAlignment="1" applyProtection="1">
      <alignment horizontal="center" vertical="center"/>
      <protection locked="0"/>
    </xf>
    <xf numFmtId="14" fontId="0" fillId="0" borderId="17" xfId="0" applyNumberFormat="1" applyFill="1" applyBorder="1" applyAlignment="1" applyProtection="1">
      <alignment horizontal="center" vertical="center"/>
      <protection locked="0"/>
    </xf>
    <xf numFmtId="14" fontId="0" fillId="0" borderId="2" xfId="0" applyNumberFormat="1" applyFill="1" applyBorder="1" applyAlignment="1" applyProtection="1">
      <alignment horizontal="center" vertical="center"/>
      <protection locked="0"/>
    </xf>
    <xf numFmtId="14" fontId="0" fillId="0" borderId="18" xfId="0" applyNumberFormat="1" applyFill="1" applyBorder="1" applyAlignment="1" applyProtection="1">
      <alignment horizontal="center" vertical="center"/>
      <protection locked="0"/>
    </xf>
    <xf numFmtId="0" fontId="0" fillId="0" borderId="17" xfId="0" applyFont="1" applyFill="1" applyBorder="1" applyAlignment="1" applyProtection="1">
      <alignment horizontal="left" vertical="center" wrapText="1"/>
      <protection locked="0"/>
    </xf>
    <xf numFmtId="0" fontId="5"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4" fillId="0" borderId="2" xfId="0" applyFont="1" applyFill="1" applyBorder="1" applyAlignment="1" applyProtection="1">
      <alignment horizontal="left" vertical="center" wrapText="1"/>
      <protection locked="0"/>
    </xf>
    <xf numFmtId="0" fontId="5" fillId="0" borderId="18" xfId="0" applyFont="1" applyFill="1" applyBorder="1" applyAlignment="1" applyProtection="1">
      <alignment horizontal="left" vertical="center" wrapText="1"/>
      <protection locked="0"/>
    </xf>
    <xf numFmtId="0" fontId="0" fillId="5" borderId="17" xfId="0" applyFont="1" applyFill="1" applyBorder="1" applyAlignment="1" applyProtection="1">
      <alignment horizontal="left" vertical="center" wrapText="1"/>
      <protection locked="0"/>
    </xf>
    <xf numFmtId="0" fontId="4" fillId="5" borderId="2" xfId="0" applyFont="1" applyFill="1" applyBorder="1" applyAlignment="1" applyProtection="1">
      <alignment horizontal="left" vertical="center" wrapText="1"/>
      <protection locked="0"/>
    </xf>
    <xf numFmtId="0" fontId="0" fillId="5" borderId="2" xfId="0" applyFont="1" applyFill="1" applyBorder="1" applyAlignment="1" applyProtection="1">
      <alignment horizontal="left" vertical="center" wrapText="1"/>
      <protection locked="0"/>
    </xf>
    <xf numFmtId="0" fontId="5" fillId="5" borderId="2" xfId="0" applyFont="1" applyFill="1" applyBorder="1" applyAlignment="1" applyProtection="1">
      <alignment horizontal="left" vertical="center" wrapText="1"/>
      <protection locked="0"/>
    </xf>
    <xf numFmtId="0" fontId="0" fillId="5" borderId="18" xfId="0" applyFont="1" applyFill="1" applyBorder="1" applyAlignment="1" applyProtection="1">
      <alignment horizontal="left" vertical="center" wrapText="1"/>
      <protection locked="0"/>
    </xf>
    <xf numFmtId="0" fontId="4" fillId="0" borderId="17" xfId="0" applyFont="1" applyFill="1" applyBorder="1" applyAlignment="1" applyProtection="1">
      <alignment horizontal="left" vertical="center" wrapText="1"/>
      <protection locked="0"/>
    </xf>
    <xf numFmtId="0" fontId="4" fillId="0" borderId="18" xfId="0" applyFont="1" applyFill="1" applyBorder="1" applyAlignment="1" applyProtection="1">
      <alignment horizontal="left" vertical="center" wrapText="1"/>
      <protection locked="0"/>
    </xf>
    <xf numFmtId="0" fontId="5" fillId="5" borderId="18" xfId="0" applyFont="1" applyFill="1" applyBorder="1" applyAlignment="1" applyProtection="1">
      <alignment horizontal="left" vertical="center" wrapText="1"/>
      <protection locked="0"/>
    </xf>
    <xf numFmtId="0" fontId="0" fillId="0" borderId="18" xfId="0" applyFont="1" applyFill="1" applyBorder="1" applyAlignment="1" applyProtection="1">
      <alignment horizontal="left" vertical="center" wrapText="1"/>
      <protection locked="0"/>
    </xf>
    <xf numFmtId="0" fontId="4" fillId="5" borderId="17" xfId="0" applyFont="1" applyFill="1" applyBorder="1" applyAlignment="1" applyProtection="1">
      <alignment horizontal="left" vertical="center" wrapText="1"/>
      <protection locked="0"/>
    </xf>
    <xf numFmtId="0" fontId="10" fillId="5" borderId="2" xfId="0" applyFont="1" applyFill="1" applyBorder="1" applyAlignment="1" applyProtection="1">
      <alignment horizontal="left" vertical="center" wrapText="1"/>
      <protection locked="0"/>
    </xf>
    <xf numFmtId="0" fontId="10" fillId="5" borderId="18" xfId="0" applyFont="1" applyFill="1" applyBorder="1" applyAlignment="1" applyProtection="1">
      <alignment horizontal="left" vertical="center" wrapText="1"/>
      <protection locked="0"/>
    </xf>
    <xf numFmtId="0" fontId="10" fillId="0" borderId="17" xfId="0" applyFont="1" applyFill="1" applyBorder="1" applyAlignment="1" applyProtection="1">
      <alignment horizontal="left" vertical="center" wrapText="1"/>
      <protection locked="0"/>
    </xf>
    <xf numFmtId="0" fontId="10" fillId="0" borderId="2" xfId="0" applyFont="1" applyFill="1" applyBorder="1" applyAlignment="1" applyProtection="1">
      <alignment horizontal="left" vertical="center" wrapText="1"/>
      <protection locked="0"/>
    </xf>
    <xf numFmtId="0" fontId="10" fillId="0" borderId="18" xfId="0" applyFont="1" applyFill="1" applyBorder="1" applyAlignment="1" applyProtection="1">
      <alignment horizontal="left" vertical="center" wrapText="1"/>
      <protection locked="0"/>
    </xf>
    <xf numFmtId="0" fontId="10" fillId="5" borderId="17" xfId="0" applyFont="1" applyFill="1" applyBorder="1" applyAlignment="1" applyProtection="1">
      <alignment horizontal="left" vertical="center" wrapText="1"/>
      <protection locked="0"/>
    </xf>
    <xf numFmtId="0" fontId="0" fillId="5" borderId="18" xfId="0" applyFill="1" applyBorder="1" applyAlignment="1" applyProtection="1">
      <alignment horizontal="left" vertical="center" wrapText="1"/>
      <protection locked="0"/>
    </xf>
    <xf numFmtId="0" fontId="0" fillId="0" borderId="17"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18" xfId="0" applyBorder="1" applyAlignment="1" applyProtection="1">
      <alignment horizontal="left" vertical="center" wrapText="1"/>
      <protection locked="0"/>
    </xf>
    <xf numFmtId="0" fontId="0" fillId="5" borderId="17" xfId="0" applyFill="1" applyBorder="1" applyAlignment="1" applyProtection="1">
      <alignment horizontal="left" vertical="center" wrapText="1"/>
      <protection locked="0"/>
    </xf>
    <xf numFmtId="0" fontId="0" fillId="5" borderId="2" xfId="0" applyFill="1" applyBorder="1" applyAlignment="1" applyProtection="1">
      <alignment horizontal="left" vertical="center" wrapText="1"/>
      <protection locked="0"/>
    </xf>
    <xf numFmtId="0" fontId="6" fillId="0" borderId="17" xfId="0" applyFont="1" applyFill="1" applyBorder="1" applyAlignment="1" applyProtection="1">
      <alignment horizontal="left" vertical="center" wrapText="1"/>
      <protection locked="0"/>
    </xf>
    <xf numFmtId="0" fontId="6" fillId="0" borderId="18" xfId="0" applyFont="1" applyFill="1" applyBorder="1" applyAlignment="1" applyProtection="1">
      <alignment horizontal="left" vertical="center" wrapText="1"/>
      <protection locked="0"/>
    </xf>
    <xf numFmtId="0" fontId="6" fillId="5" borderId="17" xfId="0" applyFont="1" applyFill="1" applyBorder="1" applyAlignment="1" applyProtection="1">
      <alignment horizontal="left" vertical="center" wrapText="1"/>
      <protection locked="0"/>
    </xf>
    <xf numFmtId="0" fontId="6" fillId="5" borderId="18" xfId="0" applyFont="1" applyFill="1" applyBorder="1" applyAlignment="1" applyProtection="1">
      <alignment horizontal="left" vertical="center" wrapText="1"/>
      <protection locked="0"/>
    </xf>
    <xf numFmtId="0" fontId="6" fillId="0" borderId="2" xfId="0" applyFont="1" applyFill="1" applyBorder="1" applyAlignment="1" applyProtection="1">
      <alignment horizontal="left" vertical="center" wrapText="1"/>
      <protection locked="0"/>
    </xf>
    <xf numFmtId="0" fontId="6" fillId="5" borderId="2" xfId="0" applyFont="1" applyFill="1" applyBorder="1" applyAlignment="1" applyProtection="1">
      <alignment horizontal="left" vertical="center" wrapText="1"/>
      <protection locked="0"/>
    </xf>
    <xf numFmtId="0" fontId="3" fillId="5" borderId="17" xfId="0" applyFont="1" applyFill="1" applyBorder="1" applyAlignment="1" applyProtection="1">
      <alignment horizontal="left" vertical="center" wrapText="1"/>
      <protection locked="0"/>
    </xf>
    <xf numFmtId="0" fontId="3" fillId="5" borderId="2" xfId="0" applyFont="1" applyFill="1" applyBorder="1" applyAlignment="1" applyProtection="1">
      <alignment horizontal="left" vertical="center" wrapText="1"/>
      <protection locked="0"/>
    </xf>
    <xf numFmtId="0" fontId="3" fillId="5" borderId="18" xfId="0" applyFont="1" applyFill="1" applyBorder="1" applyAlignment="1" applyProtection="1">
      <alignment horizontal="left" vertical="center" wrapText="1"/>
      <protection locked="0"/>
    </xf>
    <xf numFmtId="9" fontId="0" fillId="5" borderId="2" xfId="0" applyNumberFormat="1" applyFont="1" applyFill="1" applyBorder="1" applyAlignment="1" applyProtection="1">
      <alignment horizontal="left" vertical="center" wrapText="1"/>
      <protection locked="0"/>
    </xf>
    <xf numFmtId="9" fontId="5" fillId="5" borderId="2" xfId="0" applyNumberFormat="1" applyFont="1" applyFill="1" applyBorder="1" applyAlignment="1" applyProtection="1">
      <alignment horizontal="left" vertical="center" wrapText="1"/>
      <protection locked="0"/>
    </xf>
    <xf numFmtId="9" fontId="4" fillId="5" borderId="18" xfId="0" applyNumberFormat="1" applyFont="1" applyFill="1" applyBorder="1" applyAlignment="1" applyProtection="1">
      <alignment horizontal="left" vertical="center" wrapText="1"/>
      <protection locked="0"/>
    </xf>
    <xf numFmtId="0" fontId="4" fillId="5" borderId="18" xfId="0" applyFont="1" applyFill="1" applyBorder="1" applyAlignment="1" applyProtection="1">
      <alignment horizontal="left" vertical="center" wrapText="1"/>
      <protection locked="0"/>
    </xf>
    <xf numFmtId="0" fontId="5" fillId="0" borderId="17" xfId="0" applyFont="1" applyFill="1" applyBorder="1" applyAlignment="1" applyProtection="1">
      <alignment horizontal="left" vertical="center" wrapText="1"/>
      <protection locked="0"/>
    </xf>
    <xf numFmtId="9" fontId="0" fillId="0" borderId="2" xfId="0" applyNumberFormat="1" applyFont="1" applyFill="1" applyBorder="1" applyAlignment="1" applyProtection="1">
      <alignment horizontal="left" vertical="center" wrapText="1"/>
      <protection locked="0"/>
    </xf>
    <xf numFmtId="9" fontId="5" fillId="0" borderId="2" xfId="0" applyNumberFormat="1" applyFont="1" applyFill="1" applyBorder="1" applyAlignment="1" applyProtection="1">
      <alignment horizontal="left" vertical="center" wrapText="1"/>
      <protection locked="0"/>
    </xf>
    <xf numFmtId="9" fontId="4" fillId="0" borderId="18" xfId="0" applyNumberFormat="1" applyFont="1" applyFill="1" applyBorder="1" applyAlignment="1" applyProtection="1">
      <alignment horizontal="left" vertical="center" wrapText="1"/>
      <protection locked="0"/>
    </xf>
    <xf numFmtId="0" fontId="0" fillId="5" borderId="17" xfId="0" applyFill="1" applyBorder="1" applyAlignment="1" applyProtection="1">
      <alignment horizontal="left" vertical="center"/>
      <protection locked="0"/>
    </xf>
    <xf numFmtId="0" fontId="0" fillId="5" borderId="2" xfId="0" applyFill="1" applyBorder="1" applyAlignment="1" applyProtection="1">
      <alignment horizontal="left" vertical="center"/>
      <protection locked="0"/>
    </xf>
    <xf numFmtId="0" fontId="0" fillId="5" borderId="18" xfId="0" applyFill="1" applyBorder="1" applyAlignment="1" applyProtection="1">
      <alignment horizontal="left" vertical="center"/>
      <protection locked="0"/>
    </xf>
    <xf numFmtId="0" fontId="0" fillId="0" borderId="17" xfId="0" applyBorder="1" applyAlignment="1" applyProtection="1">
      <alignment horizontal="left" vertical="center"/>
      <protection locked="0"/>
    </xf>
    <xf numFmtId="0" fontId="0" fillId="0" borderId="2" xfId="0" applyBorder="1" applyAlignment="1" applyProtection="1">
      <alignment horizontal="left" vertical="center"/>
      <protection locked="0"/>
    </xf>
    <xf numFmtId="0" fontId="0" fillId="0" borderId="18" xfId="0" applyBorder="1" applyAlignment="1" applyProtection="1">
      <alignment horizontal="left" vertical="center"/>
      <protection locked="0"/>
    </xf>
    <xf numFmtId="0" fontId="0" fillId="0" borderId="17" xfId="0" applyFill="1" applyBorder="1" applyAlignment="1" applyProtection="1">
      <alignment horizontal="left" vertical="center"/>
      <protection locked="0"/>
    </xf>
    <xf numFmtId="0" fontId="0" fillId="0" borderId="2" xfId="0" applyFill="1" applyBorder="1" applyAlignment="1" applyProtection="1">
      <alignment horizontal="left" vertical="center"/>
      <protection locked="0"/>
    </xf>
    <xf numFmtId="0" fontId="0" fillId="0" borderId="18" xfId="0" applyFill="1" applyBorder="1" applyAlignment="1" applyProtection="1">
      <alignment horizontal="left" vertical="center"/>
      <protection locked="0"/>
    </xf>
    <xf numFmtId="0" fontId="0" fillId="5" borderId="17" xfId="0" applyFill="1" applyBorder="1" applyAlignment="1" applyProtection="1">
      <alignment horizontal="left" vertical="center" wrapText="1"/>
    </xf>
    <xf numFmtId="0" fontId="0" fillId="5" borderId="2" xfId="0" applyFill="1" applyBorder="1" applyAlignment="1" applyProtection="1">
      <alignment horizontal="left" vertical="center" wrapText="1"/>
    </xf>
    <xf numFmtId="0" fontId="0" fillId="5" borderId="18" xfId="0" applyFill="1" applyBorder="1" applyAlignment="1" applyProtection="1">
      <alignment horizontal="left" vertical="center" wrapText="1"/>
    </xf>
    <xf numFmtId="0" fontId="0" fillId="0" borderId="17"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18" xfId="0" applyFill="1" applyBorder="1" applyAlignment="1" applyProtection="1">
      <alignment horizontal="left" vertical="center" wrapText="1"/>
    </xf>
    <xf numFmtId="0" fontId="6" fillId="5" borderId="17" xfId="0" applyFont="1" applyFill="1" applyBorder="1" applyAlignment="1" applyProtection="1">
      <alignment vertical="center" wrapText="1"/>
    </xf>
    <xf numFmtId="0" fontId="3" fillId="5" borderId="2" xfId="0" applyFont="1" applyFill="1" applyBorder="1" applyAlignment="1" applyProtection="1">
      <alignment vertical="center" wrapText="1"/>
    </xf>
    <xf numFmtId="0" fontId="3" fillId="5" borderId="18" xfId="0" applyFont="1" applyFill="1" applyBorder="1" applyAlignment="1" applyProtection="1">
      <alignment vertical="center" wrapText="1"/>
    </xf>
    <xf numFmtId="0" fontId="6" fillId="6" borderId="17" xfId="0" applyFont="1" applyFill="1" applyBorder="1" applyAlignment="1" applyProtection="1">
      <alignment vertical="center" wrapText="1"/>
    </xf>
    <xf numFmtId="0" fontId="0" fillId="6" borderId="17" xfId="0" applyFont="1" applyFill="1" applyBorder="1" applyAlignment="1" applyProtection="1">
      <alignment horizontal="left" vertical="center" wrapText="1"/>
      <protection locked="0"/>
    </xf>
    <xf numFmtId="0" fontId="3" fillId="6" borderId="2" xfId="0" applyFont="1" applyFill="1" applyBorder="1" applyAlignment="1" applyProtection="1">
      <alignment vertical="center" wrapText="1"/>
    </xf>
    <xf numFmtId="0" fontId="0" fillId="6" borderId="2" xfId="0" applyFont="1" applyFill="1" applyBorder="1" applyAlignment="1" applyProtection="1">
      <alignment horizontal="left" vertical="center" wrapText="1"/>
      <protection locked="0"/>
    </xf>
    <xf numFmtId="0" fontId="3" fillId="6" borderId="18" xfId="0" applyFont="1" applyFill="1" applyBorder="1" applyAlignment="1" applyProtection="1">
      <alignment vertical="center" wrapText="1"/>
    </xf>
    <xf numFmtId="0" fontId="0" fillId="6" borderId="18" xfId="0" applyFont="1" applyFill="1" applyBorder="1" applyAlignment="1" applyProtection="1">
      <alignment horizontal="left" vertical="center" wrapText="1"/>
      <protection locked="0"/>
    </xf>
    <xf numFmtId="0" fontId="0" fillId="5" borderId="17" xfId="0" applyFill="1" applyBorder="1" applyAlignment="1" applyProtection="1">
      <alignment vertical="center" wrapText="1"/>
    </xf>
    <xf numFmtId="0" fontId="5" fillId="5" borderId="17" xfId="0" applyFont="1" applyFill="1" applyBorder="1" applyAlignment="1" applyProtection="1">
      <alignment vertical="center" wrapText="1"/>
    </xf>
    <xf numFmtId="0" fontId="0" fillId="5" borderId="2" xfId="0" applyFill="1" applyBorder="1" applyAlignment="1" applyProtection="1">
      <alignment vertical="center" wrapText="1"/>
    </xf>
    <xf numFmtId="0" fontId="4" fillId="5" borderId="2" xfId="0" applyFont="1" applyFill="1" applyBorder="1" applyAlignment="1" applyProtection="1">
      <alignment vertical="center" wrapText="1"/>
    </xf>
    <xf numFmtId="0" fontId="5" fillId="5" borderId="2" xfId="0" applyFont="1" applyFill="1" applyBorder="1" applyAlignment="1" applyProtection="1">
      <alignment vertical="center" wrapText="1"/>
    </xf>
    <xf numFmtId="0" fontId="0" fillId="5" borderId="18" xfId="0" applyFill="1" applyBorder="1" applyAlignment="1" applyProtection="1">
      <alignment vertical="center" wrapText="1"/>
    </xf>
    <xf numFmtId="0" fontId="4" fillId="5" borderId="18" xfId="0" applyFont="1" applyFill="1" applyBorder="1" applyAlignment="1" applyProtection="1">
      <alignment vertical="center" wrapText="1"/>
    </xf>
    <xf numFmtId="0" fontId="0" fillId="0" borderId="17" xfId="0" applyFill="1" applyBorder="1" applyAlignment="1" applyProtection="1">
      <alignment vertical="center" wrapText="1"/>
    </xf>
    <xf numFmtId="0" fontId="5" fillId="0" borderId="17" xfId="0" applyFont="1" applyFill="1" applyBorder="1" applyAlignment="1" applyProtection="1">
      <alignment vertical="center" wrapText="1"/>
    </xf>
    <xf numFmtId="0" fontId="0" fillId="0" borderId="2" xfId="0" applyFill="1" applyBorder="1" applyAlignment="1" applyProtection="1">
      <alignment vertical="center" wrapText="1"/>
    </xf>
    <xf numFmtId="0" fontId="4" fillId="0" borderId="2" xfId="0" applyFont="1" applyFill="1" applyBorder="1" applyAlignment="1" applyProtection="1">
      <alignment vertical="center" wrapText="1"/>
    </xf>
    <xf numFmtId="0" fontId="5" fillId="0" borderId="2" xfId="0" applyFont="1" applyFill="1" applyBorder="1" applyAlignment="1" applyProtection="1">
      <alignment vertical="center" wrapText="1"/>
    </xf>
    <xf numFmtId="0" fontId="0" fillId="0" borderId="18" xfId="0" applyFill="1" applyBorder="1" applyAlignment="1" applyProtection="1">
      <alignment vertical="center" wrapText="1"/>
    </xf>
    <xf numFmtId="0" fontId="4" fillId="0" borderId="18" xfId="0" applyFont="1" applyFill="1" applyBorder="1" applyAlignment="1" applyProtection="1">
      <alignment vertical="center" wrapText="1"/>
    </xf>
    <xf numFmtId="0" fontId="0" fillId="5" borderId="17" xfId="0" applyFill="1" applyBorder="1" applyAlignment="1" applyProtection="1">
      <alignment horizontal="left" vertical="center"/>
    </xf>
    <xf numFmtId="0" fontId="0" fillId="5" borderId="19" xfId="0" applyFill="1" applyBorder="1" applyAlignment="1" applyProtection="1">
      <alignment horizontal="left" vertical="center"/>
    </xf>
    <xf numFmtId="14" fontId="0" fillId="5" borderId="17" xfId="0" applyNumberFormat="1" applyFill="1" applyBorder="1" applyAlignment="1" applyProtection="1">
      <alignment horizontal="left" vertical="center"/>
      <protection locked="0"/>
    </xf>
    <xf numFmtId="0" fontId="0" fillId="5" borderId="2" xfId="0" applyFill="1" applyBorder="1" applyAlignment="1" applyProtection="1">
      <alignment horizontal="left" vertical="center"/>
    </xf>
    <xf numFmtId="0" fontId="0" fillId="5" borderId="6" xfId="0" applyFill="1" applyBorder="1" applyAlignment="1" applyProtection="1">
      <alignment horizontal="left" vertical="center"/>
    </xf>
    <xf numFmtId="14" fontId="0" fillId="5" borderId="2" xfId="0" applyNumberFormat="1" applyFill="1" applyBorder="1" applyAlignment="1" applyProtection="1">
      <alignment horizontal="left" vertical="center"/>
      <protection locked="0"/>
    </xf>
    <xf numFmtId="0" fontId="0" fillId="5" borderId="18" xfId="0" applyFill="1" applyBorder="1" applyAlignment="1" applyProtection="1">
      <alignment horizontal="left" vertical="center"/>
    </xf>
    <xf numFmtId="0" fontId="0" fillId="5" borderId="20" xfId="0" applyFill="1" applyBorder="1" applyAlignment="1" applyProtection="1">
      <alignment horizontal="left" vertical="center"/>
    </xf>
    <xf numFmtId="14" fontId="0" fillId="5" borderId="18" xfId="0" applyNumberFormat="1" applyFill="1" applyBorder="1" applyAlignment="1" applyProtection="1">
      <alignment horizontal="left" vertical="center"/>
      <protection locked="0"/>
    </xf>
    <xf numFmtId="0" fontId="0" fillId="0" borderId="17" xfId="0" applyFill="1" applyBorder="1" applyAlignment="1" applyProtection="1">
      <alignment horizontal="left" vertical="center"/>
    </xf>
    <xf numFmtId="0" fontId="0" fillId="0" borderId="19" xfId="0" applyFill="1" applyBorder="1" applyAlignment="1" applyProtection="1">
      <alignment horizontal="left" vertical="center"/>
    </xf>
    <xf numFmtId="14" fontId="0" fillId="0" borderId="17" xfId="0" applyNumberFormat="1" applyBorder="1" applyAlignment="1" applyProtection="1">
      <alignment horizontal="left" vertical="center"/>
      <protection locked="0"/>
    </xf>
    <xf numFmtId="0" fontId="0" fillId="0" borderId="2" xfId="0" applyFill="1" applyBorder="1" applyAlignment="1" applyProtection="1">
      <alignment horizontal="left" vertical="center"/>
    </xf>
    <xf numFmtId="0" fontId="0" fillId="0" borderId="6" xfId="0" applyFill="1" applyBorder="1" applyAlignment="1" applyProtection="1">
      <alignment horizontal="left" vertical="center"/>
    </xf>
    <xf numFmtId="14" fontId="0" fillId="0" borderId="2" xfId="0" applyNumberFormat="1" applyBorder="1" applyAlignment="1" applyProtection="1">
      <alignment horizontal="left" vertical="center"/>
      <protection locked="0"/>
    </xf>
    <xf numFmtId="0" fontId="0" fillId="0" borderId="18" xfId="0" applyFill="1" applyBorder="1" applyAlignment="1" applyProtection="1">
      <alignment horizontal="left" vertical="center"/>
    </xf>
    <xf numFmtId="0" fontId="0" fillId="0" borderId="20" xfId="0" applyFill="1" applyBorder="1" applyAlignment="1" applyProtection="1">
      <alignment horizontal="left" vertical="center"/>
    </xf>
    <xf numFmtId="14" fontId="0" fillId="0" borderId="18" xfId="0" applyNumberFormat="1" applyBorder="1" applyAlignment="1" applyProtection="1">
      <alignment horizontal="left" vertical="center"/>
      <protection locked="0"/>
    </xf>
    <xf numFmtId="0" fontId="0" fillId="5" borderId="3" xfId="0" applyFill="1" applyBorder="1" applyAlignment="1" applyProtection="1">
      <alignment vertical="center" wrapText="1"/>
    </xf>
    <xf numFmtId="0" fontId="5" fillId="5" borderId="3" xfId="0" applyFont="1" applyFill="1" applyBorder="1" applyAlignment="1" applyProtection="1">
      <alignment vertical="center" wrapText="1"/>
    </xf>
    <xf numFmtId="0" fontId="5" fillId="5" borderId="3" xfId="0" applyFont="1" applyFill="1" applyBorder="1" applyAlignment="1" applyProtection="1">
      <alignment horizontal="left" vertical="center" wrapText="1"/>
      <protection locked="0"/>
    </xf>
    <xf numFmtId="0" fontId="0" fillId="5" borderId="3" xfId="0" applyFont="1" applyFill="1" applyBorder="1" applyAlignment="1" applyProtection="1">
      <alignment horizontal="center" vertical="center" wrapText="1"/>
      <protection locked="0"/>
    </xf>
    <xf numFmtId="0" fontId="0" fillId="5" borderId="30" xfId="0" applyFill="1" applyBorder="1" applyAlignment="1" applyProtection="1">
      <alignment vertical="center" wrapText="1"/>
    </xf>
    <xf numFmtId="0" fontId="5" fillId="5" borderId="30" xfId="0" applyFont="1" applyFill="1" applyBorder="1" applyAlignment="1" applyProtection="1">
      <alignment horizontal="left" vertical="center" wrapText="1"/>
      <protection locked="0"/>
    </xf>
    <xf numFmtId="0" fontId="0" fillId="5" borderId="30" xfId="0" applyFont="1" applyFill="1" applyBorder="1" applyAlignment="1" applyProtection="1">
      <alignment horizontal="center" vertical="center" wrapText="1"/>
      <protection locked="0"/>
    </xf>
    <xf numFmtId="0" fontId="0" fillId="5" borderId="31" xfId="0" applyFill="1" applyBorder="1" applyAlignment="1" applyProtection="1">
      <alignment vertical="center" wrapText="1"/>
    </xf>
    <xf numFmtId="0" fontId="5" fillId="5" borderId="5" xfId="0" applyFont="1" applyFill="1" applyBorder="1" applyAlignment="1" applyProtection="1">
      <alignment vertical="center" wrapText="1"/>
    </xf>
    <xf numFmtId="0" fontId="0" fillId="0" borderId="3" xfId="0" applyFill="1" applyBorder="1" applyAlignment="1" applyProtection="1">
      <alignment vertical="center" wrapText="1"/>
    </xf>
    <xf numFmtId="0" fontId="5" fillId="0" borderId="3" xfId="0" applyFont="1" applyFill="1" applyBorder="1" applyAlignment="1" applyProtection="1">
      <alignment vertical="center" wrapText="1"/>
    </xf>
    <xf numFmtId="0" fontId="5" fillId="0" borderId="3" xfId="0" applyFont="1" applyFill="1" applyBorder="1" applyAlignment="1" applyProtection="1">
      <alignment horizontal="left" vertical="center" wrapText="1"/>
      <protection locked="0"/>
    </xf>
    <xf numFmtId="0" fontId="0" fillId="0" borderId="3" xfId="0" applyFont="1" applyFill="1" applyBorder="1" applyAlignment="1" applyProtection="1">
      <alignment horizontal="center" vertical="center" wrapText="1"/>
      <protection locked="0"/>
    </xf>
    <xf numFmtId="14" fontId="0" fillId="0" borderId="3" xfId="0" applyNumberFormat="1" applyFill="1" applyBorder="1" applyAlignment="1" applyProtection="1">
      <alignment horizontal="center" vertical="center"/>
      <protection locked="0"/>
    </xf>
    <xf numFmtId="0" fontId="20" fillId="2" borderId="6" xfId="0" applyFont="1" applyFill="1" applyBorder="1" applyAlignment="1" applyProtection="1">
      <alignment horizontal="right" vertical="center" wrapText="1" indent="1"/>
    </xf>
    <xf numFmtId="0" fontId="8" fillId="2" borderId="6" xfId="0" applyFont="1" applyFill="1" applyBorder="1" applyAlignment="1" applyProtection="1">
      <alignment horizontal="right" vertical="center" wrapText="1"/>
    </xf>
    <xf numFmtId="0" fontId="21" fillId="5" borderId="7" xfId="0" applyFont="1" applyFill="1" applyBorder="1" applyAlignment="1" applyProtection="1">
      <alignment horizontal="left" vertical="center" wrapText="1"/>
      <protection locked="0"/>
    </xf>
    <xf numFmtId="0" fontId="21" fillId="5" borderId="7" xfId="0" applyFont="1" applyFill="1" applyBorder="1" applyAlignment="1" applyProtection="1">
      <alignment horizontal="left" vertical="center" wrapText="1" indent="1"/>
      <protection locked="0"/>
    </xf>
    <xf numFmtId="0" fontId="22" fillId="5" borderId="7" xfId="0" applyFont="1" applyFill="1" applyBorder="1" applyAlignment="1" applyProtection="1">
      <alignment horizontal="center" vertical="center" wrapText="1"/>
      <protection locked="0"/>
    </xf>
    <xf numFmtId="0" fontId="0" fillId="5" borderId="3" xfId="0" applyFont="1" applyFill="1" applyBorder="1" applyAlignment="1" applyProtection="1">
      <alignment vertical="center" wrapText="1"/>
    </xf>
    <xf numFmtId="0" fontId="5" fillId="5" borderId="4" xfId="0" applyFont="1" applyFill="1" applyBorder="1" applyAlignment="1" applyProtection="1">
      <alignment horizontal="left" vertical="center" wrapText="1"/>
      <protection locked="0"/>
    </xf>
    <xf numFmtId="0" fontId="0" fillId="5" borderId="4" xfId="0" applyFont="1" applyFill="1" applyBorder="1" applyAlignment="1" applyProtection="1">
      <alignment horizontal="center" vertical="center" wrapText="1"/>
      <protection locked="0"/>
    </xf>
    <xf numFmtId="0" fontId="0" fillId="5" borderId="3" xfId="0" applyFill="1" applyBorder="1" applyAlignment="1" applyProtection="1">
      <alignment horizontal="left" vertical="center"/>
      <protection locked="0"/>
    </xf>
    <xf numFmtId="0" fontId="0" fillId="5" borderId="3" xfId="0" applyFill="1" applyBorder="1" applyAlignment="1" applyProtection="1">
      <alignment horizontal="center" vertical="center"/>
      <protection locked="0"/>
    </xf>
    <xf numFmtId="0" fontId="0" fillId="0" borderId="3" xfId="0" applyFill="1" applyBorder="1" applyAlignment="1" applyProtection="1">
      <alignment horizontal="left" vertical="center"/>
      <protection locked="0"/>
    </xf>
    <xf numFmtId="0" fontId="0" fillId="0" borderId="3" xfId="0" applyFill="1" applyBorder="1" applyAlignment="1" applyProtection="1">
      <alignment horizontal="center" vertical="center"/>
      <protection locked="0"/>
    </xf>
    <xf numFmtId="0" fontId="0" fillId="0" borderId="3" xfId="0" applyBorder="1" applyAlignment="1" applyProtection="1">
      <alignment horizontal="left" vertical="center"/>
      <protection locked="0"/>
    </xf>
    <xf numFmtId="0" fontId="0" fillId="0" borderId="3" xfId="0" applyBorder="1" applyAlignment="1" applyProtection="1">
      <alignment horizontal="center" vertical="center"/>
      <protection locked="0"/>
    </xf>
    <xf numFmtId="0" fontId="10" fillId="0" borderId="0" xfId="0" applyFont="1" applyAlignment="1" applyProtection="1">
      <alignment horizontal="center" vertical="top"/>
      <protection locked="0"/>
    </xf>
    <xf numFmtId="0" fontId="8" fillId="2" borderId="4" xfId="0" applyFont="1" applyFill="1" applyBorder="1" applyAlignment="1" applyProtection="1">
      <alignment horizontal="center" vertical="top" wrapText="1"/>
    </xf>
    <xf numFmtId="0" fontId="8" fillId="2" borderId="11" xfId="0" applyFont="1" applyFill="1" applyBorder="1" applyAlignment="1" applyProtection="1">
      <alignment horizontal="center" vertical="center" wrapText="1"/>
    </xf>
    <xf numFmtId="0" fontId="7" fillId="2" borderId="37" xfId="0" applyFont="1" applyFill="1" applyBorder="1" applyAlignment="1" applyProtection="1">
      <alignment horizontal="left" vertical="center" wrapText="1"/>
    </xf>
    <xf numFmtId="0" fontId="2" fillId="4" borderId="42" xfId="0" applyFont="1" applyFill="1" applyBorder="1" applyAlignment="1" applyProtection="1">
      <alignment horizontal="center" vertical="top" wrapText="1"/>
    </xf>
    <xf numFmtId="0" fontId="0" fillId="5" borderId="43" xfId="0" applyFill="1" applyBorder="1" applyAlignment="1" applyProtection="1">
      <alignment vertical="center" wrapText="1"/>
    </xf>
    <xf numFmtId="0" fontId="0" fillId="5" borderId="45" xfId="0" applyFill="1" applyBorder="1" applyAlignment="1" applyProtection="1">
      <alignment vertical="center" wrapText="1"/>
    </xf>
    <xf numFmtId="0" fontId="0" fillId="5" borderId="47" xfId="0" applyFill="1" applyBorder="1" applyAlignment="1" applyProtection="1">
      <alignment vertical="center" wrapText="1"/>
    </xf>
    <xf numFmtId="0" fontId="0" fillId="0" borderId="49" xfId="0" applyFill="1" applyBorder="1" applyAlignment="1" applyProtection="1">
      <alignment vertical="center" wrapText="1"/>
    </xf>
    <xf numFmtId="0" fontId="0" fillId="0" borderId="45" xfId="0" applyFill="1" applyBorder="1" applyAlignment="1" applyProtection="1">
      <alignment vertical="center" wrapText="1"/>
    </xf>
    <xf numFmtId="0" fontId="0" fillId="0" borderId="50" xfId="0" applyFill="1" applyBorder="1" applyAlignment="1" applyProtection="1">
      <alignment vertical="center" wrapText="1"/>
    </xf>
    <xf numFmtId="0" fontId="0" fillId="0" borderId="47" xfId="0" applyFill="1" applyBorder="1" applyAlignment="1" applyProtection="1">
      <alignment vertical="center" wrapText="1"/>
    </xf>
    <xf numFmtId="0" fontId="0" fillId="5" borderId="50" xfId="0" applyFill="1" applyBorder="1" applyAlignment="1" applyProtection="1">
      <alignment vertical="center" wrapText="1"/>
    </xf>
    <xf numFmtId="0" fontId="0" fillId="5" borderId="49" xfId="0" applyFill="1" applyBorder="1" applyAlignment="1" applyProtection="1">
      <alignment vertical="center" wrapText="1"/>
    </xf>
    <xf numFmtId="14" fontId="0" fillId="5" borderId="4" xfId="0" applyNumberFormat="1" applyFill="1" applyBorder="1" applyAlignment="1" applyProtection="1">
      <alignment horizontal="center" vertical="center"/>
      <protection locked="0"/>
    </xf>
    <xf numFmtId="14" fontId="0" fillId="5" borderId="3" xfId="0" applyNumberFormat="1" applyFill="1" applyBorder="1" applyAlignment="1" applyProtection="1">
      <alignment horizontal="center" vertical="center"/>
      <protection locked="0"/>
    </xf>
    <xf numFmtId="0" fontId="0" fillId="5" borderId="49" xfId="0" applyFill="1" applyBorder="1" applyAlignment="1" applyProtection="1">
      <alignment horizontal="left" vertical="center" wrapText="1"/>
    </xf>
    <xf numFmtId="0" fontId="0" fillId="5" borderId="45" xfId="0" applyFill="1" applyBorder="1" applyAlignment="1" applyProtection="1">
      <alignment horizontal="left" vertical="center" wrapText="1"/>
    </xf>
    <xf numFmtId="0" fontId="0" fillId="5" borderId="47" xfId="0" applyFill="1" applyBorder="1" applyAlignment="1" applyProtection="1">
      <alignment horizontal="left" vertical="center" wrapText="1"/>
    </xf>
    <xf numFmtId="0" fontId="0" fillId="6" borderId="49" xfId="0" applyFill="1" applyBorder="1" applyAlignment="1" applyProtection="1">
      <alignment horizontal="left" vertical="center" wrapText="1"/>
    </xf>
    <xf numFmtId="0" fontId="0" fillId="6" borderId="45" xfId="0" applyFill="1" applyBorder="1" applyAlignment="1" applyProtection="1">
      <alignment horizontal="left" vertical="center" wrapText="1"/>
    </xf>
    <xf numFmtId="0" fontId="0" fillId="6" borderId="47" xfId="0" applyFill="1" applyBorder="1" applyAlignment="1" applyProtection="1">
      <alignment horizontal="left" vertical="center" wrapText="1"/>
    </xf>
    <xf numFmtId="0" fontId="10" fillId="6" borderId="0" xfId="0" applyFont="1" applyFill="1" applyBorder="1" applyAlignment="1" applyProtection="1">
      <alignment horizontal="center" vertical="center"/>
    </xf>
    <xf numFmtId="0" fontId="10" fillId="6" borderId="0" xfId="0" applyFont="1" applyFill="1" applyBorder="1" applyProtection="1"/>
    <xf numFmtId="14" fontId="0" fillId="6" borderId="2" xfId="0" applyNumberFormat="1" applyFill="1" applyBorder="1" applyAlignment="1" applyProtection="1">
      <alignment horizontal="center" vertical="center"/>
      <protection locked="0"/>
    </xf>
    <xf numFmtId="14" fontId="0" fillId="6" borderId="3" xfId="0" applyNumberFormat="1" applyFill="1" applyBorder="1" applyAlignment="1" applyProtection="1">
      <alignment horizontal="center" vertical="center"/>
      <protection locked="0"/>
    </xf>
    <xf numFmtId="14" fontId="0" fillId="6" borderId="18" xfId="0" applyNumberFormat="1" applyFill="1" applyBorder="1" applyAlignment="1" applyProtection="1">
      <alignment horizontal="center" vertical="center"/>
      <protection locked="0"/>
    </xf>
    <xf numFmtId="14" fontId="0" fillId="0" borderId="2" xfId="0" applyNumberFormat="1" applyFill="1" applyBorder="1" applyAlignment="1" applyProtection="1">
      <alignment horizontal="left" vertical="center"/>
      <protection locked="0"/>
    </xf>
    <xf numFmtId="0" fontId="0" fillId="0" borderId="0" xfId="0" applyAlignment="1" applyProtection="1">
      <alignment wrapText="1"/>
      <protection locked="0"/>
    </xf>
    <xf numFmtId="0" fontId="7" fillId="0" borderId="23" xfId="0" applyFont="1" applyBorder="1" applyAlignment="1">
      <alignment horizontal="left" vertical="top" wrapText="1" indent="1"/>
    </xf>
    <xf numFmtId="0" fontId="7" fillId="0" borderId="0" xfId="0" applyFont="1" applyBorder="1" applyAlignment="1">
      <alignment horizontal="left" vertical="top" wrapText="1" indent="1"/>
    </xf>
    <xf numFmtId="0" fontId="0" fillId="2" borderId="30" xfId="0" applyFill="1" applyBorder="1" applyAlignment="1" applyProtection="1">
      <alignment horizontal="center" vertical="center"/>
      <protection hidden="1"/>
    </xf>
    <xf numFmtId="0" fontId="0" fillId="2" borderId="5" xfId="0" applyFill="1" applyBorder="1" applyAlignment="1" applyProtection="1">
      <alignment horizontal="center" vertical="center"/>
      <protection hidden="1"/>
    </xf>
    <xf numFmtId="0" fontId="0" fillId="2" borderId="29" xfId="0" applyFill="1" applyBorder="1" applyAlignment="1" applyProtection="1">
      <alignment horizontal="center" vertical="center"/>
      <protection hidden="1"/>
    </xf>
    <xf numFmtId="0" fontId="0" fillId="4" borderId="44" xfId="0" applyFill="1" applyBorder="1" applyAlignment="1" applyProtection="1">
      <alignment horizontal="center" vertical="center"/>
      <protection hidden="1"/>
    </xf>
    <xf numFmtId="0" fontId="0" fillId="4" borderId="46" xfId="0" applyFill="1" applyBorder="1" applyAlignment="1" applyProtection="1">
      <alignment horizontal="center" vertical="center"/>
      <protection hidden="1"/>
    </xf>
    <xf numFmtId="0" fontId="0" fillId="4" borderId="48" xfId="0" applyFill="1" applyBorder="1" applyAlignment="1" applyProtection="1">
      <alignment horizontal="center" vertical="center"/>
      <protection hidden="1"/>
    </xf>
    <xf numFmtId="0" fontId="13" fillId="2" borderId="33" xfId="0" applyFont="1" applyFill="1" applyBorder="1" applyAlignment="1" applyProtection="1">
      <alignment horizontal="center" vertical="center" wrapText="1"/>
    </xf>
    <xf numFmtId="0" fontId="13" fillId="2" borderId="34" xfId="0" applyFont="1" applyFill="1" applyBorder="1" applyAlignment="1" applyProtection="1">
      <alignment horizontal="center" vertical="center" wrapText="1"/>
    </xf>
    <xf numFmtId="0" fontId="13" fillId="2" borderId="35" xfId="0" applyFont="1" applyFill="1" applyBorder="1" applyAlignment="1" applyProtection="1">
      <alignment horizontal="center" vertical="center" wrapText="1"/>
    </xf>
    <xf numFmtId="0" fontId="7" fillId="4" borderId="32" xfId="0" applyFont="1" applyFill="1" applyBorder="1" applyAlignment="1" applyProtection="1">
      <alignment horizontal="center" vertical="center" wrapText="1"/>
    </xf>
    <xf numFmtId="0" fontId="7" fillId="4" borderId="36" xfId="0" applyFont="1" applyFill="1" applyBorder="1" applyAlignment="1" applyProtection="1">
      <alignment horizontal="center" vertical="center" wrapText="1"/>
    </xf>
    <xf numFmtId="0" fontId="7" fillId="4" borderId="14" xfId="0" applyFont="1" applyFill="1" applyBorder="1" applyAlignment="1" applyProtection="1">
      <alignment horizontal="center" vertical="center" wrapText="1"/>
    </xf>
    <xf numFmtId="0" fontId="7" fillId="4" borderId="38" xfId="0" applyFont="1" applyFill="1" applyBorder="1" applyAlignment="1" applyProtection="1">
      <alignment horizontal="center" vertical="center" wrapText="1"/>
    </xf>
    <xf numFmtId="0" fontId="7" fillId="4" borderId="10" xfId="0" applyFont="1" applyFill="1" applyBorder="1" applyAlignment="1" applyProtection="1">
      <alignment horizontal="center" vertical="center" wrapText="1"/>
    </xf>
    <xf numFmtId="0" fontId="7" fillId="4" borderId="40" xfId="0" applyFont="1" applyFill="1" applyBorder="1" applyAlignment="1" applyProtection="1">
      <alignment horizontal="center" vertical="center" wrapText="1"/>
    </xf>
    <xf numFmtId="0" fontId="8" fillId="2" borderId="6" xfId="0" applyFont="1" applyFill="1" applyBorder="1" applyAlignment="1" applyProtection="1">
      <alignment horizontal="center" wrapText="1"/>
    </xf>
    <xf numFmtId="0" fontId="8" fillId="2" borderId="7" xfId="0" applyFont="1" applyFill="1" applyBorder="1" applyAlignment="1" applyProtection="1">
      <alignment horizontal="center" wrapText="1"/>
    </xf>
    <xf numFmtId="0" fontId="8" fillId="2" borderId="39" xfId="0" applyFont="1" applyFill="1" applyBorder="1" applyAlignment="1" applyProtection="1">
      <alignment horizontal="left" vertical="top" wrapText="1"/>
    </xf>
    <xf numFmtId="0" fontId="8" fillId="2" borderId="41" xfId="0" applyFont="1" applyFill="1" applyBorder="1" applyAlignment="1" applyProtection="1">
      <alignment horizontal="left" vertical="top" wrapText="1"/>
    </xf>
    <xf numFmtId="0" fontId="8" fillId="2" borderId="4" xfId="0" applyFont="1" applyFill="1" applyBorder="1" applyAlignment="1" applyProtection="1">
      <alignment horizontal="left" vertical="top" wrapText="1"/>
    </xf>
    <xf numFmtId="0" fontId="8" fillId="2" borderId="5" xfId="0" applyFont="1" applyFill="1" applyBorder="1" applyAlignment="1" applyProtection="1">
      <alignment horizontal="left" vertical="top" wrapText="1"/>
    </xf>
    <xf numFmtId="0" fontId="8" fillId="2" borderId="4" xfId="0" applyFont="1" applyFill="1" applyBorder="1" applyAlignment="1" applyProtection="1">
      <alignment horizontal="left" vertical="center" wrapText="1"/>
    </xf>
    <xf numFmtId="0" fontId="8" fillId="2" borderId="5" xfId="0" applyFont="1" applyFill="1" applyBorder="1" applyAlignment="1" applyProtection="1">
      <alignment horizontal="left" vertical="center" wrapText="1"/>
    </xf>
    <xf numFmtId="0" fontId="8" fillId="2" borderId="4" xfId="0" applyFont="1" applyFill="1" applyBorder="1" applyAlignment="1" applyProtection="1">
      <alignment horizontal="center" vertical="top" wrapText="1"/>
    </xf>
    <xf numFmtId="0" fontId="8" fillId="2" borderId="29" xfId="0" applyFont="1" applyFill="1" applyBorder="1" applyAlignment="1" applyProtection="1">
      <alignment horizontal="center" vertical="top" wrapText="1"/>
    </xf>
    <xf numFmtId="0" fontId="0" fillId="0" borderId="0" xfId="0" applyFill="1" applyBorder="1" applyAlignment="1" applyProtection="1">
      <alignment horizontal="center" vertical="center"/>
      <protection hidden="1"/>
    </xf>
    <xf numFmtId="49" fontId="0" fillId="2" borderId="30" xfId="0" applyNumberFormat="1" applyFill="1" applyBorder="1" applyAlignment="1" applyProtection="1">
      <alignment horizontal="center" vertical="center"/>
      <protection hidden="1"/>
    </xf>
    <xf numFmtId="49" fontId="0" fillId="2" borderId="5" xfId="0" applyNumberFormat="1" applyFill="1" applyBorder="1" applyAlignment="1" applyProtection="1">
      <alignment horizontal="center" vertical="center"/>
      <protection hidden="1"/>
    </xf>
    <xf numFmtId="49" fontId="0" fillId="2" borderId="29" xfId="0" applyNumberFormat="1" applyFill="1" applyBorder="1" applyAlignment="1" applyProtection="1">
      <alignment horizontal="center" vertical="center"/>
      <protection hidden="1"/>
    </xf>
    <xf numFmtId="0" fontId="8" fillId="2" borderId="10" xfId="0" applyFont="1" applyFill="1" applyBorder="1" applyAlignment="1" applyProtection="1">
      <alignment horizontal="center" vertical="center" wrapText="1"/>
    </xf>
    <xf numFmtId="0" fontId="8" fillId="2" borderId="11" xfId="0" applyFont="1" applyFill="1" applyBorder="1" applyAlignment="1" applyProtection="1">
      <alignment horizontal="center" vertical="center" wrapText="1"/>
    </xf>
    <xf numFmtId="0" fontId="8" fillId="2" borderId="12" xfId="0" applyFont="1" applyFill="1" applyBorder="1" applyAlignment="1" applyProtection="1">
      <alignment horizontal="center" vertical="center" wrapText="1"/>
    </xf>
    <xf numFmtId="0" fontId="7" fillId="4" borderId="16" xfId="0" applyFont="1" applyFill="1" applyBorder="1" applyAlignment="1" applyProtection="1">
      <alignment horizontal="center" vertical="center" wrapText="1"/>
    </xf>
    <xf numFmtId="0" fontId="7" fillId="4" borderId="13" xfId="0" applyFont="1" applyFill="1" applyBorder="1" applyAlignment="1" applyProtection="1">
      <alignment horizontal="center" vertical="center" wrapText="1"/>
    </xf>
    <xf numFmtId="0" fontId="7" fillId="4" borderId="15" xfId="0" applyFont="1" applyFill="1" applyBorder="1" applyAlignment="1" applyProtection="1">
      <alignment horizontal="center" vertical="center" wrapText="1"/>
    </xf>
    <xf numFmtId="0" fontId="7" fillId="4" borderId="12" xfId="0" applyFont="1" applyFill="1" applyBorder="1" applyAlignment="1" applyProtection="1">
      <alignment horizontal="center" vertical="center" wrapText="1"/>
    </xf>
    <xf numFmtId="0" fontId="8" fillId="2" borderId="6" xfId="0" applyFont="1" applyFill="1" applyBorder="1" applyAlignment="1" applyProtection="1">
      <alignment horizontal="center" vertical="center" wrapText="1"/>
    </xf>
    <xf numFmtId="0" fontId="8" fillId="2" borderId="7" xfId="0" applyFont="1" applyFill="1" applyBorder="1" applyAlignment="1" applyProtection="1">
      <alignment horizontal="center" vertical="center" wrapText="1"/>
    </xf>
    <xf numFmtId="0" fontId="0" fillId="2" borderId="4" xfId="0" applyFill="1" applyBorder="1" applyAlignment="1" applyProtection="1">
      <alignment horizontal="center" vertical="center"/>
      <protection hidden="1"/>
    </xf>
    <xf numFmtId="0" fontId="0" fillId="2" borderId="3" xfId="0" applyFill="1" applyBorder="1" applyAlignment="1" applyProtection="1">
      <alignment horizontal="center" vertical="center"/>
      <protection hidden="1"/>
    </xf>
    <xf numFmtId="0" fontId="0" fillId="4" borderId="4" xfId="0" applyFill="1" applyBorder="1" applyAlignment="1" applyProtection="1">
      <alignment horizontal="center" vertical="center"/>
      <protection hidden="1"/>
    </xf>
    <xf numFmtId="0" fontId="0" fillId="4" borderId="5" xfId="0" applyFill="1" applyBorder="1" applyAlignment="1" applyProtection="1">
      <alignment horizontal="center" vertical="center"/>
      <protection hidden="1"/>
    </xf>
    <xf numFmtId="0" fontId="0" fillId="4" borderId="3" xfId="0" applyFill="1" applyBorder="1" applyAlignment="1" applyProtection="1">
      <alignment horizontal="center" vertical="center"/>
      <protection hidden="1"/>
    </xf>
    <xf numFmtId="0" fontId="8" fillId="2" borderId="4" xfId="0" applyFont="1" applyFill="1" applyBorder="1" applyAlignment="1" applyProtection="1">
      <alignment horizontal="center" vertical="center" wrapText="1"/>
    </xf>
    <xf numFmtId="0" fontId="8" fillId="2" borderId="5" xfId="0" applyFont="1" applyFill="1" applyBorder="1" applyAlignment="1" applyProtection="1">
      <alignment horizontal="center" vertical="center" wrapText="1"/>
    </xf>
    <xf numFmtId="0" fontId="0" fillId="0" borderId="1" xfId="0" applyBorder="1" applyAlignment="1" applyProtection="1">
      <alignment horizontal="left" vertical="top" wrapText="1"/>
    </xf>
    <xf numFmtId="0" fontId="7" fillId="3" borderId="1" xfId="0" applyFont="1" applyFill="1" applyBorder="1" applyAlignment="1" applyProtection="1">
      <alignment horizontal="center" vertical="center" wrapText="1"/>
    </xf>
  </cellXfs>
  <cellStyles count="1">
    <cellStyle name="Normal" xfId="0" builtinId="0"/>
  </cellStyles>
  <dxfs count="0"/>
  <tableStyles count="0" defaultTableStyle="TableStyleMedium2" defaultPivotStyle="PivotStyleLight16"/>
  <colors>
    <mruColors>
      <color rgb="FFF8CA08"/>
      <color rgb="FF6FA0DB"/>
      <color rgb="FF62A8E8"/>
      <color rgb="FF86B9F6"/>
      <color rgb="FF8BABF1"/>
      <color rgb="FF69B0E1"/>
      <color rgb="FF69C4E1"/>
      <color rgb="FF8AA2E6"/>
      <color rgb="FFDDD42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2</xdr:col>
      <xdr:colOff>7200900</xdr:colOff>
      <xdr:row>0</xdr:row>
      <xdr:rowOff>95250</xdr:rowOff>
    </xdr:from>
    <xdr:to>
      <xdr:col>4</xdr:col>
      <xdr:colOff>133350</xdr:colOff>
      <xdr:row>0</xdr:row>
      <xdr:rowOff>1028700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96250" y="95250"/>
          <a:ext cx="2314575" cy="933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317</xdr:colOff>
      <xdr:row>0</xdr:row>
      <xdr:rowOff>106680</xdr:rowOff>
    </xdr:from>
    <xdr:to>
      <xdr:col>2</xdr:col>
      <xdr:colOff>2318874</xdr:colOff>
      <xdr:row>0</xdr:row>
      <xdr:rowOff>1005840</xdr:rowOff>
    </xdr:to>
    <xdr:pic>
      <xdr:nvPicPr>
        <xdr:cNvPr id="5" name="Picture 4" descr="Identity mark for the Centers for Medicare &amp; Medicaid Services (CMS)" title="CMS Identity Mark">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09917" y="106680"/>
          <a:ext cx="2615737" cy="89916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s"/>
  <dimension ref="B1:D13"/>
  <sheetViews>
    <sheetView showGridLines="0" zoomScaleNormal="100" workbookViewId="0">
      <selection activeCell="B3" sqref="B3:C3"/>
    </sheetView>
  </sheetViews>
  <sheetFormatPr defaultRowHeight="15" x14ac:dyDescent="0.25"/>
  <cols>
    <col min="2" max="2" width="4.28515625" style="1" customWidth="1"/>
    <col min="3" max="3" width="136.85546875" style="74" customWidth="1"/>
    <col min="4" max="4" width="3.85546875" customWidth="1"/>
  </cols>
  <sheetData>
    <row r="1" spans="2:4" ht="84.75" customHeight="1" thickBot="1" x14ac:dyDescent="0.3"/>
    <row r="2" spans="2:4" x14ac:dyDescent="0.25">
      <c r="B2" s="75"/>
      <c r="C2" s="78"/>
      <c r="D2" s="79"/>
    </row>
    <row r="3" spans="2:4" ht="21.75" customHeight="1" x14ac:dyDescent="0.25">
      <c r="B3" s="247" t="s">
        <v>355</v>
      </c>
      <c r="C3" s="248"/>
      <c r="D3" s="80"/>
    </row>
    <row r="4" spans="2:4" ht="47.25" x14ac:dyDescent="0.25">
      <c r="B4" s="76" t="s">
        <v>233</v>
      </c>
      <c r="C4" s="77" t="s">
        <v>350</v>
      </c>
      <c r="D4" s="80" t="s">
        <v>234</v>
      </c>
    </row>
    <row r="5" spans="2:4" ht="31.5" x14ac:dyDescent="0.25">
      <c r="B5" s="76" t="s">
        <v>233</v>
      </c>
      <c r="C5" s="77" t="s">
        <v>235</v>
      </c>
      <c r="D5" s="80"/>
    </row>
    <row r="6" spans="2:4" ht="110.25" x14ac:dyDescent="0.25">
      <c r="B6" s="76" t="s">
        <v>233</v>
      </c>
      <c r="C6" s="77" t="s">
        <v>245</v>
      </c>
      <c r="D6" s="80"/>
    </row>
    <row r="7" spans="2:4" ht="15.75" x14ac:dyDescent="0.25">
      <c r="B7" s="76"/>
      <c r="C7" s="77"/>
      <c r="D7" s="80"/>
    </row>
    <row r="8" spans="2:4" ht="94.5" x14ac:dyDescent="0.25">
      <c r="B8" s="76" t="s">
        <v>233</v>
      </c>
      <c r="C8" s="77" t="s">
        <v>236</v>
      </c>
      <c r="D8" s="80"/>
    </row>
    <row r="9" spans="2:4" ht="31.5" x14ac:dyDescent="0.25">
      <c r="B9" s="76" t="s">
        <v>233</v>
      </c>
      <c r="C9" s="77" t="s">
        <v>237</v>
      </c>
      <c r="D9" s="80"/>
    </row>
    <row r="10" spans="2:4" ht="31.5" x14ac:dyDescent="0.25">
      <c r="B10" s="76"/>
      <c r="C10" s="77" t="s">
        <v>238</v>
      </c>
      <c r="D10" s="80"/>
    </row>
    <row r="11" spans="2:4" ht="47.25" x14ac:dyDescent="0.25">
      <c r="B11" s="76" t="s">
        <v>233</v>
      </c>
      <c r="C11" s="77" t="s">
        <v>349</v>
      </c>
      <c r="D11" s="80"/>
    </row>
    <row r="12" spans="2:4" ht="15.75" x14ac:dyDescent="0.25">
      <c r="B12" s="76"/>
      <c r="C12" s="77"/>
      <c r="D12" s="80"/>
    </row>
    <row r="13" spans="2:4" ht="30.75" thickBot="1" x14ac:dyDescent="0.3">
      <c r="B13" s="83" t="s">
        <v>233</v>
      </c>
      <c r="C13" s="81" t="s">
        <v>239</v>
      </c>
      <c r="D13" s="82"/>
    </row>
  </sheetData>
  <sheetProtection password="CA81" sheet="1" formatCells="0" formatColumns="0" formatRows="0" insertHyperlinks="0" autoFilter="0" pivotTables="0"/>
  <mergeCells count="1">
    <mergeCell ref="B3:C3"/>
  </mergeCells>
  <pageMargins left="0.7" right="0.7" top="0.75" bottom="0.75" header="0.3" footer="0.3"/>
  <pageSetup paperSize="256"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902"/>
  <sheetViews>
    <sheetView showGridLines="0" tabSelected="1" zoomScale="80" zoomScaleNormal="80" workbookViewId="0">
      <selection activeCell="F5" sqref="F5"/>
    </sheetView>
  </sheetViews>
  <sheetFormatPr defaultRowHeight="15" x14ac:dyDescent="0.25"/>
  <cols>
    <col min="1" max="1" width="16.7109375" customWidth="1"/>
    <col min="2" max="2" width="16.28515625" customWidth="1"/>
    <col min="3" max="3" width="25.140625" customWidth="1"/>
    <col min="4" max="4" width="23.7109375" customWidth="1"/>
    <col min="5" max="5" width="24.42578125" customWidth="1"/>
    <col min="6" max="7" width="14.5703125" customWidth="1"/>
    <col min="8" max="8" width="25.7109375" customWidth="1"/>
    <col min="9" max="10" width="6.5703125" style="4" customWidth="1"/>
    <col min="11" max="11" width="15.7109375" style="1" customWidth="1"/>
    <col min="12" max="13" width="6.85546875" customWidth="1"/>
    <col min="14" max="19" width="8.7109375" style="40" customWidth="1"/>
    <col min="20" max="20" width="8.7109375" style="40" hidden="1" customWidth="1"/>
    <col min="21" max="21" width="8.85546875" style="218" hidden="1" customWidth="1"/>
    <col min="22" max="22" width="9.140625" style="16" hidden="1" customWidth="1"/>
    <col min="23" max="23" width="9.7109375" style="16" hidden="1" customWidth="1"/>
    <col min="24" max="24" width="9.140625" style="16" customWidth="1"/>
    <col min="25" max="26" width="9.140625" style="16"/>
  </cols>
  <sheetData>
    <row r="1" spans="1:24" ht="29.25" thickTop="1" x14ac:dyDescent="0.25">
      <c r="A1" s="255" t="s">
        <v>227</v>
      </c>
      <c r="B1" s="256"/>
      <c r="C1" s="256"/>
      <c r="D1" s="256"/>
      <c r="E1" s="256"/>
      <c r="F1" s="256"/>
      <c r="G1" s="256"/>
      <c r="H1" s="256"/>
      <c r="I1" s="256"/>
      <c r="J1" s="256"/>
      <c r="K1" s="257"/>
      <c r="L1" s="258" t="s">
        <v>220</v>
      </c>
      <c r="M1" s="259"/>
    </row>
    <row r="2" spans="1:24" ht="37.5" x14ac:dyDescent="0.25">
      <c r="A2" s="221" t="s">
        <v>221</v>
      </c>
      <c r="B2" s="206" t="s">
        <v>244</v>
      </c>
      <c r="C2" s="220"/>
      <c r="D2" s="220"/>
      <c r="E2" s="204" t="s">
        <v>231</v>
      </c>
      <c r="F2" s="207" t="s">
        <v>106</v>
      </c>
      <c r="G2" s="220"/>
      <c r="H2" s="220"/>
      <c r="I2" s="220"/>
      <c r="J2" s="220"/>
      <c r="K2" s="12"/>
      <c r="L2" s="260"/>
      <c r="M2" s="261"/>
    </row>
    <row r="3" spans="1:24" ht="42" x14ac:dyDescent="0.35">
      <c r="A3" s="266" t="s">
        <v>212</v>
      </c>
      <c r="B3" s="272" t="s">
        <v>253</v>
      </c>
      <c r="C3" s="268" t="s">
        <v>219</v>
      </c>
      <c r="D3" s="272" t="s">
        <v>246</v>
      </c>
      <c r="E3" s="268" t="s">
        <v>297</v>
      </c>
      <c r="F3" s="264" t="s">
        <v>226</v>
      </c>
      <c r="G3" s="265"/>
      <c r="H3" s="270" t="s">
        <v>42</v>
      </c>
      <c r="I3" s="264" t="s">
        <v>214</v>
      </c>
      <c r="J3" s="265"/>
      <c r="K3" s="219" t="s">
        <v>217</v>
      </c>
      <c r="L3" s="262"/>
      <c r="M3" s="263"/>
    </row>
    <row r="4" spans="1:24" ht="49.5" customHeight="1" thickBot="1" x14ac:dyDescent="0.3">
      <c r="A4" s="267"/>
      <c r="B4" s="273"/>
      <c r="C4" s="269"/>
      <c r="D4" s="273"/>
      <c r="E4" s="269"/>
      <c r="F4" s="43" t="s">
        <v>216</v>
      </c>
      <c r="G4" s="43" t="s">
        <v>215</v>
      </c>
      <c r="H4" s="271"/>
      <c r="I4" s="43" t="s">
        <v>216</v>
      </c>
      <c r="J4" s="43" t="s">
        <v>215</v>
      </c>
      <c r="K4" s="29" t="s">
        <v>218</v>
      </c>
      <c r="L4" s="52" t="s">
        <v>216</v>
      </c>
      <c r="M4" s="222" t="s">
        <v>215</v>
      </c>
    </row>
    <row r="5" spans="1:24" ht="45.75" thickTop="1" x14ac:dyDescent="0.25">
      <c r="A5" s="223" t="s">
        <v>135</v>
      </c>
      <c r="B5" s="194" t="s">
        <v>254</v>
      </c>
      <c r="C5" s="194" t="s">
        <v>144</v>
      </c>
      <c r="D5" s="194" t="s">
        <v>250</v>
      </c>
      <c r="E5" s="194" t="s">
        <v>348</v>
      </c>
      <c r="F5" s="195"/>
      <c r="G5" s="195"/>
      <c r="H5" s="195"/>
      <c r="I5" s="196">
        <v>2</v>
      </c>
      <c r="J5" s="196">
        <v>2</v>
      </c>
      <c r="K5" s="84">
        <v>42156</v>
      </c>
      <c r="L5" s="249" t="str">
        <f>CONCATENATE("Level"," ",MIN(I5:I14))</f>
        <v>Level 1</v>
      </c>
      <c r="M5" s="252" t="str">
        <f>CONCATENATE("Level"," ",MIN(J5:J14))</f>
        <v>Level 1</v>
      </c>
      <c r="U5" s="218">
        <v>1</v>
      </c>
      <c r="V5" s="19" t="s">
        <v>244</v>
      </c>
      <c r="W5" s="19" t="s">
        <v>209</v>
      </c>
      <c r="X5" s="240"/>
    </row>
    <row r="6" spans="1:24" ht="45" x14ac:dyDescent="0.25">
      <c r="A6" s="224" t="s">
        <v>135</v>
      </c>
      <c r="B6" s="160" t="s">
        <v>254</v>
      </c>
      <c r="C6" s="160" t="s">
        <v>144</v>
      </c>
      <c r="D6" s="160" t="s">
        <v>251</v>
      </c>
      <c r="E6" s="160" t="s">
        <v>348</v>
      </c>
      <c r="F6" s="98"/>
      <c r="G6" s="98"/>
      <c r="H6" s="98"/>
      <c r="I6" s="26">
        <v>2</v>
      </c>
      <c r="J6" s="26">
        <v>3</v>
      </c>
      <c r="K6" s="85">
        <v>42156</v>
      </c>
      <c r="L6" s="250"/>
      <c r="M6" s="253"/>
      <c r="U6" s="218">
        <v>2</v>
      </c>
      <c r="V6" s="19" t="s">
        <v>244</v>
      </c>
      <c r="W6" s="19" t="s">
        <v>209</v>
      </c>
      <c r="X6" s="240"/>
    </row>
    <row r="7" spans="1:24" ht="75" x14ac:dyDescent="0.25">
      <c r="A7" s="224" t="s">
        <v>135</v>
      </c>
      <c r="B7" s="160" t="s">
        <v>254</v>
      </c>
      <c r="C7" s="160" t="s">
        <v>144</v>
      </c>
      <c r="D7" s="160" t="s">
        <v>252</v>
      </c>
      <c r="E7" s="160" t="s">
        <v>348</v>
      </c>
      <c r="F7" s="210"/>
      <c r="G7" s="210"/>
      <c r="H7" s="210"/>
      <c r="I7" s="211">
        <v>2</v>
      </c>
      <c r="J7" s="211">
        <v>2</v>
      </c>
      <c r="K7" s="85">
        <v>42156</v>
      </c>
      <c r="L7" s="250"/>
      <c r="M7" s="253"/>
      <c r="U7" s="218">
        <v>3</v>
      </c>
      <c r="V7" s="19" t="s">
        <v>244</v>
      </c>
      <c r="W7" s="19" t="s">
        <v>209</v>
      </c>
      <c r="X7" s="240"/>
    </row>
    <row r="8" spans="1:24" ht="45" x14ac:dyDescent="0.25">
      <c r="A8" s="224" t="s">
        <v>135</v>
      </c>
      <c r="B8" s="160" t="s">
        <v>254</v>
      </c>
      <c r="C8" s="160" t="s">
        <v>144</v>
      </c>
      <c r="D8" s="160" t="s">
        <v>263</v>
      </c>
      <c r="E8" s="198" t="s">
        <v>0</v>
      </c>
      <c r="F8" s="98"/>
      <c r="G8" s="98"/>
      <c r="H8" s="98"/>
      <c r="I8" s="26">
        <v>2</v>
      </c>
      <c r="J8" s="26">
        <v>2</v>
      </c>
      <c r="K8" s="85">
        <v>42156</v>
      </c>
      <c r="L8" s="250"/>
      <c r="M8" s="253"/>
      <c r="U8" s="218">
        <v>55</v>
      </c>
      <c r="V8" s="19" t="s">
        <v>244</v>
      </c>
      <c r="W8" s="19" t="s">
        <v>209</v>
      </c>
      <c r="X8" s="240"/>
    </row>
    <row r="9" spans="1:24" ht="45" x14ac:dyDescent="0.25">
      <c r="A9" s="224" t="s">
        <v>135</v>
      </c>
      <c r="B9" s="160" t="s">
        <v>254</v>
      </c>
      <c r="C9" s="160" t="s">
        <v>144</v>
      </c>
      <c r="D9" s="160" t="s">
        <v>247</v>
      </c>
      <c r="E9" s="47" t="s">
        <v>34</v>
      </c>
      <c r="F9" s="98"/>
      <c r="G9" s="98"/>
      <c r="H9" s="98"/>
      <c r="I9" s="26">
        <v>1</v>
      </c>
      <c r="J9" s="26">
        <v>1</v>
      </c>
      <c r="K9" s="85">
        <v>42156</v>
      </c>
      <c r="L9" s="250"/>
      <c r="M9" s="253"/>
      <c r="U9" s="218">
        <v>56</v>
      </c>
      <c r="V9" s="19" t="s">
        <v>244</v>
      </c>
      <c r="W9" s="19" t="s">
        <v>209</v>
      </c>
      <c r="X9" s="240"/>
    </row>
    <row r="10" spans="1:24" ht="45" x14ac:dyDescent="0.25">
      <c r="A10" s="224" t="s">
        <v>135</v>
      </c>
      <c r="B10" s="160" t="s">
        <v>254</v>
      </c>
      <c r="C10" s="160" t="s">
        <v>144</v>
      </c>
      <c r="D10" s="160" t="s">
        <v>248</v>
      </c>
      <c r="E10" s="47" t="s">
        <v>34</v>
      </c>
      <c r="F10" s="98"/>
      <c r="G10" s="98"/>
      <c r="H10" s="98"/>
      <c r="I10" s="26">
        <v>1</v>
      </c>
      <c r="J10" s="26">
        <v>2</v>
      </c>
      <c r="K10" s="85">
        <v>42156</v>
      </c>
      <c r="L10" s="250"/>
      <c r="M10" s="253"/>
      <c r="U10" s="218">
        <v>56</v>
      </c>
      <c r="V10" s="19" t="s">
        <v>244</v>
      </c>
      <c r="W10" s="19" t="s">
        <v>209</v>
      </c>
      <c r="X10" s="240"/>
    </row>
    <row r="11" spans="1:24" ht="45" x14ac:dyDescent="0.25">
      <c r="A11" s="224" t="s">
        <v>135</v>
      </c>
      <c r="B11" s="160" t="s">
        <v>254</v>
      </c>
      <c r="C11" s="160" t="s">
        <v>144</v>
      </c>
      <c r="D11" s="160" t="s">
        <v>260</v>
      </c>
      <c r="E11" s="161" t="s">
        <v>35</v>
      </c>
      <c r="F11" s="98"/>
      <c r="G11" s="98"/>
      <c r="H11" s="98"/>
      <c r="I11" s="26">
        <v>1</v>
      </c>
      <c r="J11" s="26">
        <v>2</v>
      </c>
      <c r="K11" s="85">
        <v>42156</v>
      </c>
      <c r="L11" s="250"/>
      <c r="M11" s="253"/>
      <c r="U11" s="218">
        <v>57</v>
      </c>
      <c r="V11" s="19" t="s">
        <v>244</v>
      </c>
      <c r="W11" s="19" t="s">
        <v>209</v>
      </c>
      <c r="X11" s="240"/>
    </row>
    <row r="12" spans="1:24" ht="45" x14ac:dyDescent="0.25">
      <c r="A12" s="224" t="s">
        <v>135</v>
      </c>
      <c r="B12" s="160" t="s">
        <v>254</v>
      </c>
      <c r="C12" s="160" t="s">
        <v>144</v>
      </c>
      <c r="D12" s="160" t="s">
        <v>249</v>
      </c>
      <c r="E12" s="162" t="s">
        <v>36</v>
      </c>
      <c r="F12" s="98"/>
      <c r="G12" s="98"/>
      <c r="H12" s="98"/>
      <c r="I12" s="26">
        <v>1</v>
      </c>
      <c r="J12" s="26">
        <v>2</v>
      </c>
      <c r="K12" s="85">
        <v>42156</v>
      </c>
      <c r="L12" s="250"/>
      <c r="M12" s="253"/>
      <c r="U12" s="218">
        <v>58</v>
      </c>
      <c r="V12" s="19" t="s">
        <v>244</v>
      </c>
      <c r="W12" s="19" t="s">
        <v>209</v>
      </c>
      <c r="X12" s="240"/>
    </row>
    <row r="13" spans="1:24" ht="45" x14ac:dyDescent="0.25">
      <c r="A13" s="224" t="s">
        <v>135</v>
      </c>
      <c r="B13" s="160" t="s">
        <v>254</v>
      </c>
      <c r="C13" s="160" t="s">
        <v>144</v>
      </c>
      <c r="D13" s="160" t="s">
        <v>261</v>
      </c>
      <c r="E13" s="47" t="s">
        <v>37</v>
      </c>
      <c r="F13" s="98"/>
      <c r="G13" s="98"/>
      <c r="H13" s="98"/>
      <c r="I13" s="26">
        <v>2</v>
      </c>
      <c r="J13" s="26">
        <v>3</v>
      </c>
      <c r="K13" s="85">
        <v>42156</v>
      </c>
      <c r="L13" s="250"/>
      <c r="M13" s="253"/>
      <c r="U13" s="218">
        <v>59</v>
      </c>
      <c r="V13" s="19" t="s">
        <v>244</v>
      </c>
      <c r="W13" s="19" t="s">
        <v>209</v>
      </c>
      <c r="X13" s="240"/>
    </row>
    <row r="14" spans="1:24" ht="45.75" thickBot="1" x14ac:dyDescent="0.3">
      <c r="A14" s="225" t="s">
        <v>135</v>
      </c>
      <c r="B14" s="163" t="s">
        <v>254</v>
      </c>
      <c r="C14" s="163" t="s">
        <v>144</v>
      </c>
      <c r="D14" s="163" t="s">
        <v>262</v>
      </c>
      <c r="E14" s="164" t="s">
        <v>38</v>
      </c>
      <c r="F14" s="102"/>
      <c r="G14" s="102"/>
      <c r="H14" s="102"/>
      <c r="I14" s="31">
        <v>2</v>
      </c>
      <c r="J14" s="31">
        <v>2</v>
      </c>
      <c r="K14" s="232">
        <v>42156</v>
      </c>
      <c r="L14" s="251"/>
      <c r="M14" s="254"/>
      <c r="U14" s="218">
        <v>60</v>
      </c>
      <c r="V14" s="19" t="s">
        <v>244</v>
      </c>
      <c r="W14" s="19" t="s">
        <v>209</v>
      </c>
      <c r="X14" s="240"/>
    </row>
    <row r="15" spans="1:24" ht="45.75" thickTop="1" x14ac:dyDescent="0.25">
      <c r="A15" s="226" t="s">
        <v>135</v>
      </c>
      <c r="B15" s="165" t="s">
        <v>254</v>
      </c>
      <c r="C15" s="165" t="s">
        <v>145</v>
      </c>
      <c r="D15" s="165" t="s">
        <v>250</v>
      </c>
      <c r="E15" s="165" t="s">
        <v>348</v>
      </c>
      <c r="F15" s="130"/>
      <c r="G15" s="130"/>
      <c r="H15" s="130"/>
      <c r="I15" s="32">
        <v>1</v>
      </c>
      <c r="J15" s="32">
        <v>2</v>
      </c>
      <c r="K15" s="87">
        <v>42156</v>
      </c>
      <c r="L15" s="249" t="str">
        <f>CONCATENATE("Level"," ",MIN(I15:I25))</f>
        <v>Level 1</v>
      </c>
      <c r="M15" s="252" t="str">
        <f>CONCATENATE("Level"," ",MIN(J15:J25))</f>
        <v>Level 2</v>
      </c>
      <c r="U15" s="218">
        <v>1</v>
      </c>
      <c r="V15" s="19" t="s">
        <v>244</v>
      </c>
      <c r="W15" s="19"/>
      <c r="X15" s="241"/>
    </row>
    <row r="16" spans="1:24" ht="60" x14ac:dyDescent="0.25">
      <c r="A16" s="227" t="s">
        <v>135</v>
      </c>
      <c r="B16" s="167" t="s">
        <v>254</v>
      </c>
      <c r="C16" s="199" t="s">
        <v>145</v>
      </c>
      <c r="D16" s="199" t="s">
        <v>257</v>
      </c>
      <c r="E16" s="200" t="s">
        <v>348</v>
      </c>
      <c r="F16" s="201"/>
      <c r="G16" s="201"/>
      <c r="H16" s="201"/>
      <c r="I16" s="202">
        <v>1</v>
      </c>
      <c r="J16" s="202">
        <v>2</v>
      </c>
      <c r="K16" s="88">
        <v>42156</v>
      </c>
      <c r="L16" s="250"/>
      <c r="M16" s="253"/>
      <c r="U16" s="218">
        <v>4</v>
      </c>
      <c r="V16" s="19" t="s">
        <v>244</v>
      </c>
      <c r="W16" s="19"/>
      <c r="X16" s="241"/>
    </row>
    <row r="17" spans="1:24" ht="45" x14ac:dyDescent="0.25">
      <c r="A17" s="227" t="s">
        <v>135</v>
      </c>
      <c r="B17" s="167" t="s">
        <v>254</v>
      </c>
      <c r="C17" s="199" t="s">
        <v>145</v>
      </c>
      <c r="D17" s="199" t="s">
        <v>251</v>
      </c>
      <c r="E17" s="200" t="s">
        <v>348</v>
      </c>
      <c r="F17" s="201"/>
      <c r="G17" s="201"/>
      <c r="H17" s="201"/>
      <c r="I17" s="202">
        <v>2</v>
      </c>
      <c r="J17" s="202">
        <v>3</v>
      </c>
      <c r="K17" s="88">
        <v>42156</v>
      </c>
      <c r="L17" s="250"/>
      <c r="M17" s="253"/>
      <c r="U17" s="218">
        <v>2</v>
      </c>
      <c r="V17" s="19" t="s">
        <v>244</v>
      </c>
      <c r="W17" s="19"/>
      <c r="X17" s="241"/>
    </row>
    <row r="18" spans="1:24" ht="75" x14ac:dyDescent="0.25">
      <c r="A18" s="227" t="s">
        <v>135</v>
      </c>
      <c r="B18" s="167" t="s">
        <v>254</v>
      </c>
      <c r="C18" s="167" t="s">
        <v>145</v>
      </c>
      <c r="D18" s="167" t="s">
        <v>258</v>
      </c>
      <c r="E18" s="169" t="s">
        <v>348</v>
      </c>
      <c r="F18" s="91"/>
      <c r="G18" s="91"/>
      <c r="H18" s="91"/>
      <c r="I18" s="5">
        <v>2</v>
      </c>
      <c r="J18" s="5">
        <v>2</v>
      </c>
      <c r="K18" s="88">
        <v>42156</v>
      </c>
      <c r="L18" s="250"/>
      <c r="M18" s="253"/>
      <c r="U18" s="218">
        <v>5</v>
      </c>
      <c r="V18" s="19" t="s">
        <v>244</v>
      </c>
      <c r="W18" s="19"/>
      <c r="X18" s="241"/>
    </row>
    <row r="19" spans="1:24" ht="45" x14ac:dyDescent="0.25">
      <c r="A19" s="228" t="s">
        <v>135</v>
      </c>
      <c r="B19" s="199" t="s">
        <v>254</v>
      </c>
      <c r="C19" s="199" t="s">
        <v>145</v>
      </c>
      <c r="D19" s="199" t="s">
        <v>263</v>
      </c>
      <c r="E19" s="200" t="s">
        <v>0</v>
      </c>
      <c r="F19" s="201"/>
      <c r="G19" s="201"/>
      <c r="H19" s="201"/>
      <c r="I19" s="202">
        <v>2</v>
      </c>
      <c r="J19" s="202">
        <v>2</v>
      </c>
      <c r="K19" s="88">
        <v>42156</v>
      </c>
      <c r="L19" s="250"/>
      <c r="M19" s="253"/>
      <c r="U19" s="218">
        <v>55</v>
      </c>
      <c r="V19" s="19" t="s">
        <v>244</v>
      </c>
      <c r="W19" s="19"/>
      <c r="X19" s="241"/>
    </row>
    <row r="20" spans="1:24" ht="45" x14ac:dyDescent="0.25">
      <c r="A20" s="227" t="s">
        <v>135</v>
      </c>
      <c r="B20" s="167" t="s">
        <v>254</v>
      </c>
      <c r="C20" s="167" t="s">
        <v>145</v>
      </c>
      <c r="D20" s="167" t="s">
        <v>247</v>
      </c>
      <c r="E20" s="50" t="s">
        <v>34</v>
      </c>
      <c r="F20" s="131"/>
      <c r="G20" s="92"/>
      <c r="H20" s="92"/>
      <c r="I20" s="6">
        <v>2</v>
      </c>
      <c r="J20" s="5">
        <v>3</v>
      </c>
      <c r="K20" s="88">
        <v>42156</v>
      </c>
      <c r="L20" s="250"/>
      <c r="M20" s="253"/>
      <c r="U20" s="218">
        <v>56</v>
      </c>
      <c r="V20" s="19" t="s">
        <v>244</v>
      </c>
      <c r="W20" s="19"/>
      <c r="X20" s="241"/>
    </row>
    <row r="21" spans="1:24" ht="45" x14ac:dyDescent="0.25">
      <c r="A21" s="227" t="s">
        <v>135</v>
      </c>
      <c r="B21" s="167" t="s">
        <v>254</v>
      </c>
      <c r="C21" s="167" t="s">
        <v>145</v>
      </c>
      <c r="D21" s="167" t="s">
        <v>248</v>
      </c>
      <c r="E21" s="50" t="s">
        <v>34</v>
      </c>
      <c r="F21" s="131"/>
      <c r="G21" s="92"/>
      <c r="H21" s="92"/>
      <c r="I21" s="6">
        <v>2</v>
      </c>
      <c r="J21" s="5">
        <v>2</v>
      </c>
      <c r="K21" s="88">
        <v>42156</v>
      </c>
      <c r="L21" s="250"/>
      <c r="M21" s="253"/>
      <c r="U21" s="218">
        <v>56</v>
      </c>
      <c r="V21" s="19" t="s">
        <v>244</v>
      </c>
      <c r="W21" s="19"/>
      <c r="X21" s="241"/>
    </row>
    <row r="22" spans="1:24" ht="60" x14ac:dyDescent="0.25">
      <c r="A22" s="227" t="s">
        <v>135</v>
      </c>
      <c r="B22" s="167" t="s">
        <v>254</v>
      </c>
      <c r="C22" s="167" t="s">
        <v>145</v>
      </c>
      <c r="D22" s="167" t="s">
        <v>264</v>
      </c>
      <c r="E22" s="168" t="s">
        <v>35</v>
      </c>
      <c r="F22" s="93"/>
      <c r="G22" s="93"/>
      <c r="H22" s="93"/>
      <c r="I22" s="6">
        <v>2</v>
      </c>
      <c r="J22" s="5">
        <v>2</v>
      </c>
      <c r="K22" s="88">
        <v>42156</v>
      </c>
      <c r="L22" s="250"/>
      <c r="M22" s="253"/>
      <c r="U22" s="218">
        <v>57</v>
      </c>
      <c r="V22" s="19" t="s">
        <v>244</v>
      </c>
      <c r="W22" s="19"/>
      <c r="X22" s="241"/>
    </row>
    <row r="23" spans="1:24" ht="45" x14ac:dyDescent="0.25">
      <c r="A23" s="227" t="s">
        <v>135</v>
      </c>
      <c r="B23" s="167" t="s">
        <v>254</v>
      </c>
      <c r="C23" s="167" t="s">
        <v>145</v>
      </c>
      <c r="D23" s="167" t="s">
        <v>249</v>
      </c>
      <c r="E23" s="169" t="s">
        <v>36</v>
      </c>
      <c r="F23" s="132"/>
      <c r="G23" s="91"/>
      <c r="H23" s="91"/>
      <c r="I23" s="6">
        <v>2</v>
      </c>
      <c r="J23" s="5">
        <v>2</v>
      </c>
      <c r="K23" s="88">
        <v>42156</v>
      </c>
      <c r="L23" s="250"/>
      <c r="M23" s="253"/>
      <c r="U23" s="218">
        <v>58</v>
      </c>
      <c r="V23" s="19" t="s">
        <v>244</v>
      </c>
      <c r="W23" s="19"/>
      <c r="X23" s="241"/>
    </row>
    <row r="24" spans="1:24" ht="45" x14ac:dyDescent="0.25">
      <c r="A24" s="227" t="s">
        <v>135</v>
      </c>
      <c r="B24" s="167" t="s">
        <v>254</v>
      </c>
      <c r="C24" s="167" t="s">
        <v>145</v>
      </c>
      <c r="D24" s="167" t="s">
        <v>261</v>
      </c>
      <c r="E24" s="50" t="s">
        <v>37</v>
      </c>
      <c r="F24" s="131"/>
      <c r="G24" s="92"/>
      <c r="H24" s="92"/>
      <c r="I24" s="5">
        <v>2</v>
      </c>
      <c r="J24" s="5">
        <v>2</v>
      </c>
      <c r="K24" s="88">
        <v>42156</v>
      </c>
      <c r="L24" s="250"/>
      <c r="M24" s="253"/>
      <c r="U24" s="218">
        <v>59</v>
      </c>
      <c r="V24" s="19" t="s">
        <v>244</v>
      </c>
      <c r="W24" s="19"/>
      <c r="X24" s="241"/>
    </row>
    <row r="25" spans="1:24" ht="45.75" thickBot="1" x14ac:dyDescent="0.3">
      <c r="A25" s="229" t="s">
        <v>135</v>
      </c>
      <c r="B25" s="170" t="s">
        <v>254</v>
      </c>
      <c r="C25" s="170" t="s">
        <v>145</v>
      </c>
      <c r="D25" s="170" t="s">
        <v>262</v>
      </c>
      <c r="E25" s="171" t="s">
        <v>38</v>
      </c>
      <c r="F25" s="133"/>
      <c r="G25" s="101"/>
      <c r="H25" s="101"/>
      <c r="I25" s="33">
        <v>2</v>
      </c>
      <c r="J25" s="33">
        <v>2</v>
      </c>
      <c r="K25" s="89">
        <v>42156</v>
      </c>
      <c r="L25" s="251"/>
      <c r="M25" s="254"/>
      <c r="U25" s="218">
        <v>60</v>
      </c>
      <c r="V25" s="19" t="s">
        <v>244</v>
      </c>
      <c r="W25" s="19"/>
      <c r="X25" s="241"/>
    </row>
    <row r="26" spans="1:24" ht="45.75" thickTop="1" x14ac:dyDescent="0.25">
      <c r="A26" s="230" t="s">
        <v>135</v>
      </c>
      <c r="B26" s="190" t="s">
        <v>254</v>
      </c>
      <c r="C26" s="190" t="s">
        <v>146</v>
      </c>
      <c r="D26" s="190" t="s">
        <v>250</v>
      </c>
      <c r="E26" s="191" t="s">
        <v>348</v>
      </c>
      <c r="F26" s="192"/>
      <c r="G26" s="192"/>
      <c r="H26" s="192"/>
      <c r="I26" s="193">
        <v>1</v>
      </c>
      <c r="J26" s="193">
        <v>2</v>
      </c>
      <c r="K26" s="233">
        <v>42156</v>
      </c>
      <c r="L26" s="249" t="str">
        <f>CONCATENATE("Level"," ",MIN(I26:I35))</f>
        <v>Level 1</v>
      </c>
      <c r="M26" s="252" t="str">
        <f>CONCATENATE("Level"," ",MIN(J26:J35))</f>
        <v>Level 2</v>
      </c>
      <c r="U26" s="218">
        <v>1</v>
      </c>
      <c r="V26" s="19" t="s">
        <v>244</v>
      </c>
      <c r="W26" s="19"/>
      <c r="X26" s="241"/>
    </row>
    <row r="27" spans="1:24" ht="45" x14ac:dyDescent="0.25">
      <c r="A27" s="230" t="s">
        <v>135</v>
      </c>
      <c r="B27" s="190" t="s">
        <v>254</v>
      </c>
      <c r="C27" s="190" t="s">
        <v>146</v>
      </c>
      <c r="D27" s="190" t="s">
        <v>251</v>
      </c>
      <c r="E27" s="191" t="s">
        <v>348</v>
      </c>
      <c r="F27" s="192"/>
      <c r="G27" s="192"/>
      <c r="H27" s="192"/>
      <c r="I27" s="193">
        <v>2</v>
      </c>
      <c r="J27" s="193">
        <v>3</v>
      </c>
      <c r="K27" s="85">
        <v>42156</v>
      </c>
      <c r="L27" s="250"/>
      <c r="M27" s="253"/>
      <c r="U27" s="218">
        <v>2</v>
      </c>
      <c r="V27" s="19" t="s">
        <v>244</v>
      </c>
      <c r="W27" s="19"/>
      <c r="X27" s="241"/>
    </row>
    <row r="28" spans="1:24" ht="75" x14ac:dyDescent="0.25">
      <c r="A28" s="224" t="s">
        <v>135</v>
      </c>
      <c r="B28" s="160" t="s">
        <v>254</v>
      </c>
      <c r="C28" s="160" t="s">
        <v>146</v>
      </c>
      <c r="D28" s="160" t="s">
        <v>258</v>
      </c>
      <c r="E28" s="162" t="s">
        <v>348</v>
      </c>
      <c r="F28" s="98"/>
      <c r="G28" s="98"/>
      <c r="H28" s="98"/>
      <c r="I28" s="26">
        <v>2</v>
      </c>
      <c r="J28" s="26">
        <v>3</v>
      </c>
      <c r="K28" s="85">
        <v>42156</v>
      </c>
      <c r="L28" s="250"/>
      <c r="M28" s="253"/>
      <c r="U28" s="218">
        <v>5</v>
      </c>
      <c r="V28" s="19" t="s">
        <v>244</v>
      </c>
      <c r="W28" s="19"/>
      <c r="X28" s="241"/>
    </row>
    <row r="29" spans="1:24" ht="45" x14ac:dyDescent="0.25">
      <c r="A29" s="230" t="s">
        <v>135</v>
      </c>
      <c r="B29" s="190" t="s">
        <v>254</v>
      </c>
      <c r="C29" s="190" t="s">
        <v>146</v>
      </c>
      <c r="D29" s="190" t="s">
        <v>263</v>
      </c>
      <c r="E29" s="209" t="s">
        <v>0</v>
      </c>
      <c r="F29" s="192"/>
      <c r="G29" s="192"/>
      <c r="H29" s="192"/>
      <c r="I29" s="193">
        <v>1</v>
      </c>
      <c r="J29" s="193">
        <v>2</v>
      </c>
      <c r="K29" s="85">
        <v>42156</v>
      </c>
      <c r="L29" s="250"/>
      <c r="M29" s="253"/>
      <c r="U29" s="218">
        <v>55</v>
      </c>
      <c r="V29" s="19" t="s">
        <v>244</v>
      </c>
      <c r="W29" s="19"/>
      <c r="X29" s="241"/>
    </row>
    <row r="30" spans="1:24" ht="45" x14ac:dyDescent="0.25">
      <c r="A30" s="224" t="s">
        <v>135</v>
      </c>
      <c r="B30" s="160" t="s">
        <v>254</v>
      </c>
      <c r="C30" s="160" t="s">
        <v>146</v>
      </c>
      <c r="D30" s="160" t="s">
        <v>247</v>
      </c>
      <c r="E30" s="47" t="s">
        <v>34</v>
      </c>
      <c r="F30" s="126"/>
      <c r="G30" s="97"/>
      <c r="H30" s="97"/>
      <c r="I30" s="25">
        <v>1</v>
      </c>
      <c r="J30" s="26">
        <v>2</v>
      </c>
      <c r="K30" s="85">
        <v>42156</v>
      </c>
      <c r="L30" s="250"/>
      <c r="M30" s="253"/>
      <c r="U30" s="218">
        <v>56</v>
      </c>
      <c r="V30" s="19" t="s">
        <v>244</v>
      </c>
      <c r="W30" s="19"/>
      <c r="X30" s="241"/>
    </row>
    <row r="31" spans="1:24" ht="45" x14ac:dyDescent="0.25">
      <c r="A31" s="224" t="s">
        <v>135</v>
      </c>
      <c r="B31" s="160" t="s">
        <v>254</v>
      </c>
      <c r="C31" s="160" t="s">
        <v>146</v>
      </c>
      <c r="D31" s="160" t="s">
        <v>248</v>
      </c>
      <c r="E31" s="47" t="s">
        <v>34</v>
      </c>
      <c r="F31" s="126"/>
      <c r="G31" s="97"/>
      <c r="H31" s="97"/>
      <c r="I31" s="25">
        <v>1</v>
      </c>
      <c r="J31" s="26">
        <v>2</v>
      </c>
      <c r="K31" s="85">
        <v>42156</v>
      </c>
      <c r="L31" s="250"/>
      <c r="M31" s="253"/>
      <c r="U31" s="218">
        <v>56</v>
      </c>
      <c r="V31" s="19" t="s">
        <v>244</v>
      </c>
      <c r="W31" s="19"/>
      <c r="X31" s="241"/>
    </row>
    <row r="32" spans="1:24" ht="60" x14ac:dyDescent="0.25">
      <c r="A32" s="224" t="s">
        <v>135</v>
      </c>
      <c r="B32" s="160" t="s">
        <v>254</v>
      </c>
      <c r="C32" s="160" t="s">
        <v>146</v>
      </c>
      <c r="D32" s="160" t="s">
        <v>264</v>
      </c>
      <c r="E32" s="161" t="s">
        <v>35</v>
      </c>
      <c r="F32" s="96"/>
      <c r="G32" s="96"/>
      <c r="H32" s="96"/>
      <c r="I32" s="25">
        <v>1</v>
      </c>
      <c r="J32" s="26">
        <v>2</v>
      </c>
      <c r="K32" s="85">
        <v>42156</v>
      </c>
      <c r="L32" s="250"/>
      <c r="M32" s="253"/>
      <c r="U32" s="218">
        <v>57</v>
      </c>
      <c r="V32" s="19" t="s">
        <v>244</v>
      </c>
      <c r="W32" s="19"/>
      <c r="X32" s="241"/>
    </row>
    <row r="33" spans="1:24" ht="45" x14ac:dyDescent="0.25">
      <c r="A33" s="224" t="s">
        <v>135</v>
      </c>
      <c r="B33" s="160" t="s">
        <v>254</v>
      </c>
      <c r="C33" s="160" t="s">
        <v>146</v>
      </c>
      <c r="D33" s="160" t="s">
        <v>249</v>
      </c>
      <c r="E33" s="162" t="s">
        <v>36</v>
      </c>
      <c r="F33" s="127"/>
      <c r="G33" s="98"/>
      <c r="H33" s="98"/>
      <c r="I33" s="25">
        <v>1</v>
      </c>
      <c r="J33" s="26">
        <v>2</v>
      </c>
      <c r="K33" s="85">
        <v>42156</v>
      </c>
      <c r="L33" s="250"/>
      <c r="M33" s="253"/>
      <c r="U33" s="218">
        <v>58</v>
      </c>
      <c r="V33" s="19" t="s">
        <v>244</v>
      </c>
      <c r="W33" s="19"/>
      <c r="X33" s="241"/>
    </row>
    <row r="34" spans="1:24" ht="45" x14ac:dyDescent="0.25">
      <c r="A34" s="224" t="s">
        <v>135</v>
      </c>
      <c r="B34" s="160" t="s">
        <v>254</v>
      </c>
      <c r="C34" s="160" t="s">
        <v>146</v>
      </c>
      <c r="D34" s="160" t="s">
        <v>261</v>
      </c>
      <c r="E34" s="47" t="s">
        <v>37</v>
      </c>
      <c r="F34" s="126"/>
      <c r="G34" s="97"/>
      <c r="H34" s="97"/>
      <c r="I34" s="26">
        <v>2</v>
      </c>
      <c r="J34" s="26">
        <v>3</v>
      </c>
      <c r="K34" s="85">
        <v>42156</v>
      </c>
      <c r="L34" s="250"/>
      <c r="M34" s="253"/>
      <c r="U34" s="218">
        <v>59</v>
      </c>
      <c r="V34" s="19" t="s">
        <v>244</v>
      </c>
      <c r="W34" s="19"/>
      <c r="X34" s="241"/>
    </row>
    <row r="35" spans="1:24" ht="45.75" thickBot="1" x14ac:dyDescent="0.3">
      <c r="A35" s="225" t="s">
        <v>135</v>
      </c>
      <c r="B35" s="163" t="s">
        <v>254</v>
      </c>
      <c r="C35" s="163" t="s">
        <v>146</v>
      </c>
      <c r="D35" s="163" t="s">
        <v>262</v>
      </c>
      <c r="E35" s="164" t="s">
        <v>38</v>
      </c>
      <c r="F35" s="128"/>
      <c r="G35" s="129"/>
      <c r="H35" s="129"/>
      <c r="I35" s="31">
        <v>2</v>
      </c>
      <c r="J35" s="31">
        <v>2</v>
      </c>
      <c r="K35" s="232">
        <v>42156</v>
      </c>
      <c r="L35" s="251"/>
      <c r="M35" s="254"/>
      <c r="U35" s="218">
        <v>60</v>
      </c>
      <c r="V35" s="19" t="s">
        <v>244</v>
      </c>
      <c r="W35" s="19"/>
      <c r="X35" s="241"/>
    </row>
    <row r="36" spans="1:24" ht="45.75" thickTop="1" x14ac:dyDescent="0.25">
      <c r="A36" s="226" t="s">
        <v>135</v>
      </c>
      <c r="B36" s="165" t="s">
        <v>254</v>
      </c>
      <c r="C36" s="165" t="s">
        <v>240</v>
      </c>
      <c r="D36" s="165" t="s">
        <v>250</v>
      </c>
      <c r="E36" s="166" t="s">
        <v>348</v>
      </c>
      <c r="F36" s="130"/>
      <c r="G36" s="130"/>
      <c r="H36" s="130"/>
      <c r="I36" s="32">
        <v>2</v>
      </c>
      <c r="J36" s="32">
        <v>2</v>
      </c>
      <c r="K36" s="87">
        <v>42156</v>
      </c>
      <c r="L36" s="249" t="str">
        <f>CONCATENATE("Level"," ",MIN(I36:I45))</f>
        <v>Level 1</v>
      </c>
      <c r="M36" s="252" t="str">
        <f>CONCATENATE("Level"," ",MIN(J36:J45))</f>
        <v>Level 2</v>
      </c>
      <c r="U36" s="218">
        <v>1</v>
      </c>
      <c r="V36" s="19" t="s">
        <v>244</v>
      </c>
      <c r="W36" s="19"/>
      <c r="X36" s="241"/>
    </row>
    <row r="37" spans="1:24" ht="45" x14ac:dyDescent="0.25">
      <c r="A37" s="228" t="s">
        <v>135</v>
      </c>
      <c r="B37" s="199" t="s">
        <v>254</v>
      </c>
      <c r="C37" s="199" t="s">
        <v>240</v>
      </c>
      <c r="D37" s="199" t="s">
        <v>251</v>
      </c>
      <c r="E37" s="200" t="s">
        <v>348</v>
      </c>
      <c r="F37" s="201"/>
      <c r="G37" s="201"/>
      <c r="H37" s="201"/>
      <c r="I37" s="202">
        <v>2</v>
      </c>
      <c r="J37" s="202">
        <v>2</v>
      </c>
      <c r="K37" s="88">
        <v>42156</v>
      </c>
      <c r="L37" s="250"/>
      <c r="M37" s="253"/>
      <c r="U37" s="218">
        <v>2</v>
      </c>
      <c r="V37" s="19" t="s">
        <v>244</v>
      </c>
      <c r="W37" s="19"/>
      <c r="X37" s="241"/>
    </row>
    <row r="38" spans="1:24" ht="75" x14ac:dyDescent="0.25">
      <c r="A38" s="227" t="s">
        <v>135</v>
      </c>
      <c r="B38" s="167" t="s">
        <v>254</v>
      </c>
      <c r="C38" s="167" t="s">
        <v>240</v>
      </c>
      <c r="D38" s="167" t="s">
        <v>252</v>
      </c>
      <c r="E38" s="169" t="s">
        <v>348</v>
      </c>
      <c r="F38" s="91"/>
      <c r="G38" s="91"/>
      <c r="H38" s="91"/>
      <c r="I38" s="5">
        <v>1</v>
      </c>
      <c r="J38" s="5">
        <v>2</v>
      </c>
      <c r="K38" s="88">
        <v>42156</v>
      </c>
      <c r="L38" s="250"/>
      <c r="M38" s="253"/>
      <c r="U38" s="218">
        <v>3</v>
      </c>
      <c r="V38" s="19" t="s">
        <v>244</v>
      </c>
      <c r="W38" s="19"/>
      <c r="X38" s="241"/>
    </row>
    <row r="39" spans="1:24" ht="45" x14ac:dyDescent="0.25">
      <c r="A39" s="228" t="s">
        <v>135</v>
      </c>
      <c r="B39" s="199" t="s">
        <v>254</v>
      </c>
      <c r="C39" s="199" t="s">
        <v>240</v>
      </c>
      <c r="D39" s="199" t="s">
        <v>263</v>
      </c>
      <c r="E39" s="200" t="s">
        <v>0</v>
      </c>
      <c r="F39" s="201"/>
      <c r="G39" s="201"/>
      <c r="H39" s="201"/>
      <c r="I39" s="202">
        <v>2</v>
      </c>
      <c r="J39" s="202">
        <v>2</v>
      </c>
      <c r="K39" s="88">
        <v>42156</v>
      </c>
      <c r="L39" s="250"/>
      <c r="M39" s="253"/>
      <c r="U39" s="218">
        <v>55</v>
      </c>
      <c r="V39" s="19" t="s">
        <v>244</v>
      </c>
      <c r="W39" s="19"/>
      <c r="X39" s="241"/>
    </row>
    <row r="40" spans="1:24" ht="45" x14ac:dyDescent="0.25">
      <c r="A40" s="227" t="s">
        <v>135</v>
      </c>
      <c r="B40" s="167" t="s">
        <v>254</v>
      </c>
      <c r="C40" s="167" t="s">
        <v>240</v>
      </c>
      <c r="D40" s="167" t="s">
        <v>247</v>
      </c>
      <c r="E40" s="50" t="s">
        <v>34</v>
      </c>
      <c r="F40" s="131"/>
      <c r="G40" s="92"/>
      <c r="H40" s="92"/>
      <c r="I40" s="6">
        <v>2</v>
      </c>
      <c r="J40" s="5">
        <v>3</v>
      </c>
      <c r="K40" s="88">
        <v>42156</v>
      </c>
      <c r="L40" s="250"/>
      <c r="M40" s="253"/>
      <c r="U40" s="218">
        <v>56</v>
      </c>
      <c r="V40" s="19" t="s">
        <v>244</v>
      </c>
      <c r="W40" s="19"/>
      <c r="X40" s="241"/>
    </row>
    <row r="41" spans="1:24" ht="45" x14ac:dyDescent="0.25">
      <c r="A41" s="227" t="s">
        <v>135</v>
      </c>
      <c r="B41" s="167" t="s">
        <v>254</v>
      </c>
      <c r="C41" s="167" t="s">
        <v>240</v>
      </c>
      <c r="D41" s="167" t="s">
        <v>248</v>
      </c>
      <c r="E41" s="50" t="s">
        <v>34</v>
      </c>
      <c r="F41" s="131"/>
      <c r="G41" s="92"/>
      <c r="H41" s="92"/>
      <c r="I41" s="6">
        <v>1</v>
      </c>
      <c r="J41" s="5">
        <v>2</v>
      </c>
      <c r="K41" s="88">
        <v>42156</v>
      </c>
      <c r="L41" s="250"/>
      <c r="M41" s="253"/>
      <c r="U41" s="218">
        <v>56</v>
      </c>
      <c r="V41" s="19" t="s">
        <v>244</v>
      </c>
      <c r="W41" s="19"/>
      <c r="X41" s="241"/>
    </row>
    <row r="42" spans="1:24" ht="60" x14ac:dyDescent="0.25">
      <c r="A42" s="227" t="s">
        <v>135</v>
      </c>
      <c r="B42" s="167" t="s">
        <v>254</v>
      </c>
      <c r="C42" s="167" t="s">
        <v>240</v>
      </c>
      <c r="D42" s="167" t="s">
        <v>264</v>
      </c>
      <c r="E42" s="168" t="s">
        <v>35</v>
      </c>
      <c r="F42" s="93"/>
      <c r="G42" s="93"/>
      <c r="H42" s="93"/>
      <c r="I42" s="6">
        <v>1</v>
      </c>
      <c r="J42" s="5">
        <v>2</v>
      </c>
      <c r="K42" s="88">
        <v>42156</v>
      </c>
      <c r="L42" s="250"/>
      <c r="M42" s="253"/>
      <c r="U42" s="218">
        <v>57</v>
      </c>
      <c r="V42" s="19" t="s">
        <v>244</v>
      </c>
      <c r="W42" s="19"/>
      <c r="X42" s="241"/>
    </row>
    <row r="43" spans="1:24" ht="45" x14ac:dyDescent="0.25">
      <c r="A43" s="227" t="s">
        <v>135</v>
      </c>
      <c r="B43" s="167" t="s">
        <v>254</v>
      </c>
      <c r="C43" s="167" t="s">
        <v>240</v>
      </c>
      <c r="D43" s="167" t="s">
        <v>249</v>
      </c>
      <c r="E43" s="169" t="s">
        <v>36</v>
      </c>
      <c r="F43" s="132"/>
      <c r="G43" s="91"/>
      <c r="H43" s="91"/>
      <c r="I43" s="6">
        <v>1</v>
      </c>
      <c r="J43" s="5">
        <v>2</v>
      </c>
      <c r="K43" s="88">
        <v>42156</v>
      </c>
      <c r="L43" s="250"/>
      <c r="M43" s="253"/>
      <c r="U43" s="218">
        <v>58</v>
      </c>
      <c r="V43" s="19" t="s">
        <v>244</v>
      </c>
      <c r="W43" s="19"/>
      <c r="X43" s="241"/>
    </row>
    <row r="44" spans="1:24" ht="45" x14ac:dyDescent="0.25">
      <c r="A44" s="227" t="s">
        <v>135</v>
      </c>
      <c r="B44" s="167" t="s">
        <v>254</v>
      </c>
      <c r="C44" s="167" t="s">
        <v>240</v>
      </c>
      <c r="D44" s="167" t="s">
        <v>261</v>
      </c>
      <c r="E44" s="50" t="s">
        <v>37</v>
      </c>
      <c r="F44" s="131"/>
      <c r="G44" s="92"/>
      <c r="H44" s="92"/>
      <c r="I44" s="5">
        <v>2</v>
      </c>
      <c r="J44" s="5">
        <v>3</v>
      </c>
      <c r="K44" s="88">
        <v>42156</v>
      </c>
      <c r="L44" s="250"/>
      <c r="M44" s="253"/>
      <c r="U44" s="218">
        <v>59</v>
      </c>
      <c r="V44" s="19" t="s">
        <v>244</v>
      </c>
      <c r="W44" s="19"/>
      <c r="X44" s="241"/>
    </row>
    <row r="45" spans="1:24" ht="45.75" thickBot="1" x14ac:dyDescent="0.3">
      <c r="A45" s="229" t="s">
        <v>135</v>
      </c>
      <c r="B45" s="170" t="s">
        <v>254</v>
      </c>
      <c r="C45" s="170" t="s">
        <v>240</v>
      </c>
      <c r="D45" s="170" t="s">
        <v>262</v>
      </c>
      <c r="E45" s="171" t="s">
        <v>38</v>
      </c>
      <c r="F45" s="133"/>
      <c r="G45" s="101"/>
      <c r="H45" s="101"/>
      <c r="I45" s="33">
        <v>2</v>
      </c>
      <c r="J45" s="33">
        <v>2</v>
      </c>
      <c r="K45" s="89">
        <v>42156</v>
      </c>
      <c r="L45" s="251"/>
      <c r="M45" s="254"/>
      <c r="U45" s="218">
        <v>60</v>
      </c>
      <c r="V45" s="19" t="s">
        <v>244</v>
      </c>
      <c r="W45" s="19"/>
      <c r="X45" s="241"/>
    </row>
    <row r="46" spans="1:24" ht="30.75" thickTop="1" x14ac:dyDescent="0.25">
      <c r="A46" s="231" t="s">
        <v>136</v>
      </c>
      <c r="B46" s="158" t="s">
        <v>265</v>
      </c>
      <c r="C46" s="158" t="s">
        <v>147</v>
      </c>
      <c r="D46" s="158" t="s">
        <v>250</v>
      </c>
      <c r="E46" s="159" t="s">
        <v>348</v>
      </c>
      <c r="F46" s="63"/>
      <c r="G46" s="63"/>
      <c r="H46" s="63"/>
      <c r="I46" s="30">
        <v>2</v>
      </c>
      <c r="J46" s="30">
        <v>2</v>
      </c>
      <c r="K46" s="233">
        <v>42156</v>
      </c>
      <c r="L46" s="249" t="str">
        <f t="shared" ref="L46:M46" si="0">CONCATENATE("Level"," ",MIN(I46:I55))</f>
        <v>Level 1</v>
      </c>
      <c r="M46" s="252" t="str">
        <f t="shared" si="0"/>
        <v>Level 2</v>
      </c>
      <c r="U46" s="218">
        <v>1</v>
      </c>
      <c r="V46" s="19" t="s">
        <v>244</v>
      </c>
      <c r="W46" s="19"/>
      <c r="X46" s="241"/>
    </row>
    <row r="47" spans="1:24" ht="45" x14ac:dyDescent="0.25">
      <c r="A47" s="224" t="s">
        <v>136</v>
      </c>
      <c r="B47" s="160" t="s">
        <v>265</v>
      </c>
      <c r="C47" s="160" t="s">
        <v>147</v>
      </c>
      <c r="D47" s="190" t="s">
        <v>266</v>
      </c>
      <c r="E47" s="191" t="s">
        <v>348</v>
      </c>
      <c r="F47" s="192"/>
      <c r="G47" s="192"/>
      <c r="H47" s="192"/>
      <c r="I47" s="193">
        <v>2</v>
      </c>
      <c r="J47" s="193">
        <v>2</v>
      </c>
      <c r="K47" s="85">
        <v>42156</v>
      </c>
      <c r="L47" s="250"/>
      <c r="M47" s="253"/>
      <c r="U47" s="218">
        <v>2</v>
      </c>
      <c r="V47" s="19" t="s">
        <v>244</v>
      </c>
      <c r="W47" s="19"/>
      <c r="X47" s="241"/>
    </row>
    <row r="48" spans="1:24" ht="75" x14ac:dyDescent="0.25">
      <c r="A48" s="224" t="s">
        <v>136</v>
      </c>
      <c r="B48" s="160" t="s">
        <v>265</v>
      </c>
      <c r="C48" s="160" t="s">
        <v>147</v>
      </c>
      <c r="D48" s="160" t="s">
        <v>252</v>
      </c>
      <c r="E48" s="162" t="s">
        <v>348</v>
      </c>
      <c r="F48" s="98"/>
      <c r="G48" s="98"/>
      <c r="H48" s="98"/>
      <c r="I48" s="26">
        <v>1</v>
      </c>
      <c r="J48" s="26">
        <v>2</v>
      </c>
      <c r="K48" s="85">
        <v>42156</v>
      </c>
      <c r="L48" s="250"/>
      <c r="M48" s="253"/>
      <c r="U48" s="218">
        <v>3</v>
      </c>
      <c r="V48" s="19" t="s">
        <v>244</v>
      </c>
      <c r="W48" s="19"/>
      <c r="X48" s="241"/>
    </row>
    <row r="49" spans="1:24" ht="30" x14ac:dyDescent="0.25">
      <c r="A49" s="230" t="s">
        <v>136</v>
      </c>
      <c r="B49" s="190" t="s">
        <v>265</v>
      </c>
      <c r="C49" s="190" t="s">
        <v>147</v>
      </c>
      <c r="D49" s="190" t="s">
        <v>263</v>
      </c>
      <c r="E49" s="191" t="s">
        <v>0</v>
      </c>
      <c r="F49" s="192"/>
      <c r="G49" s="192"/>
      <c r="H49" s="192"/>
      <c r="I49" s="193">
        <v>2</v>
      </c>
      <c r="J49" s="193">
        <v>2</v>
      </c>
      <c r="K49" s="85">
        <v>42156</v>
      </c>
      <c r="L49" s="250"/>
      <c r="M49" s="253"/>
      <c r="U49" s="218">
        <v>55</v>
      </c>
      <c r="V49" s="19" t="s">
        <v>244</v>
      </c>
      <c r="W49" s="19"/>
      <c r="X49" s="241"/>
    </row>
    <row r="50" spans="1:24" ht="45" x14ac:dyDescent="0.25">
      <c r="A50" s="224" t="s">
        <v>136</v>
      </c>
      <c r="B50" s="160" t="s">
        <v>265</v>
      </c>
      <c r="C50" s="160" t="s">
        <v>147</v>
      </c>
      <c r="D50" s="160" t="s">
        <v>247</v>
      </c>
      <c r="E50" s="47" t="s">
        <v>34</v>
      </c>
      <c r="F50" s="126"/>
      <c r="G50" s="97"/>
      <c r="H50" s="97"/>
      <c r="I50" s="25">
        <v>2</v>
      </c>
      <c r="J50" s="26">
        <v>2</v>
      </c>
      <c r="K50" s="85">
        <v>42156</v>
      </c>
      <c r="L50" s="250"/>
      <c r="M50" s="253"/>
      <c r="U50" s="218">
        <v>56</v>
      </c>
      <c r="V50" s="19" t="s">
        <v>244</v>
      </c>
      <c r="W50" s="19"/>
      <c r="X50" s="241"/>
    </row>
    <row r="51" spans="1:24" ht="45" x14ac:dyDescent="0.25">
      <c r="A51" s="224" t="s">
        <v>136</v>
      </c>
      <c r="B51" s="160" t="s">
        <v>265</v>
      </c>
      <c r="C51" s="160" t="s">
        <v>147</v>
      </c>
      <c r="D51" s="160" t="s">
        <v>248</v>
      </c>
      <c r="E51" s="47" t="s">
        <v>34</v>
      </c>
      <c r="F51" s="126"/>
      <c r="G51" s="97"/>
      <c r="H51" s="97"/>
      <c r="I51" s="25">
        <v>2</v>
      </c>
      <c r="J51" s="26">
        <v>2</v>
      </c>
      <c r="K51" s="85">
        <v>42156</v>
      </c>
      <c r="L51" s="250"/>
      <c r="M51" s="253"/>
      <c r="U51" s="218">
        <v>56</v>
      </c>
      <c r="V51" s="19" t="s">
        <v>244</v>
      </c>
      <c r="W51" s="19"/>
      <c r="X51" s="241"/>
    </row>
    <row r="52" spans="1:24" ht="60" x14ac:dyDescent="0.25">
      <c r="A52" s="224" t="s">
        <v>136</v>
      </c>
      <c r="B52" s="160" t="s">
        <v>265</v>
      </c>
      <c r="C52" s="160" t="s">
        <v>147</v>
      </c>
      <c r="D52" s="160" t="s">
        <v>264</v>
      </c>
      <c r="E52" s="161" t="s">
        <v>35</v>
      </c>
      <c r="F52" s="96"/>
      <c r="G52" s="96"/>
      <c r="H52" s="96"/>
      <c r="I52" s="25">
        <v>2</v>
      </c>
      <c r="J52" s="26">
        <v>2</v>
      </c>
      <c r="K52" s="85">
        <v>42156</v>
      </c>
      <c r="L52" s="250"/>
      <c r="M52" s="253"/>
      <c r="U52" s="218">
        <v>57</v>
      </c>
      <c r="V52" s="19" t="s">
        <v>244</v>
      </c>
      <c r="W52" s="19"/>
      <c r="X52" s="241"/>
    </row>
    <row r="53" spans="1:24" ht="30" x14ac:dyDescent="0.25">
      <c r="A53" s="224" t="s">
        <v>136</v>
      </c>
      <c r="B53" s="160" t="s">
        <v>265</v>
      </c>
      <c r="C53" s="160" t="s">
        <v>147</v>
      </c>
      <c r="D53" s="160" t="s">
        <v>249</v>
      </c>
      <c r="E53" s="162" t="s">
        <v>36</v>
      </c>
      <c r="F53" s="127"/>
      <c r="G53" s="98"/>
      <c r="H53" s="98"/>
      <c r="I53" s="25">
        <v>2</v>
      </c>
      <c r="J53" s="26">
        <v>2</v>
      </c>
      <c r="K53" s="85">
        <v>42156</v>
      </c>
      <c r="L53" s="250"/>
      <c r="M53" s="253"/>
      <c r="U53" s="218">
        <v>58</v>
      </c>
      <c r="V53" s="19" t="s">
        <v>244</v>
      </c>
      <c r="W53" s="19"/>
      <c r="X53" s="241"/>
    </row>
    <row r="54" spans="1:24" ht="30" x14ac:dyDescent="0.25">
      <c r="A54" s="224" t="s">
        <v>136</v>
      </c>
      <c r="B54" s="160" t="s">
        <v>265</v>
      </c>
      <c r="C54" s="160" t="s">
        <v>147</v>
      </c>
      <c r="D54" s="160" t="s">
        <v>261</v>
      </c>
      <c r="E54" s="47" t="s">
        <v>37</v>
      </c>
      <c r="F54" s="126"/>
      <c r="G54" s="97"/>
      <c r="H54" s="97"/>
      <c r="I54" s="26">
        <v>2</v>
      </c>
      <c r="J54" s="26">
        <v>2</v>
      </c>
      <c r="K54" s="85">
        <v>42156</v>
      </c>
      <c r="L54" s="250"/>
      <c r="M54" s="253"/>
      <c r="U54" s="218">
        <v>59</v>
      </c>
      <c r="V54" s="19" t="s">
        <v>244</v>
      </c>
      <c r="W54" s="19"/>
      <c r="X54" s="241"/>
    </row>
    <row r="55" spans="1:24" ht="45.75" thickBot="1" x14ac:dyDescent="0.3">
      <c r="A55" s="225" t="s">
        <v>136</v>
      </c>
      <c r="B55" s="163" t="s">
        <v>265</v>
      </c>
      <c r="C55" s="163" t="s">
        <v>147</v>
      </c>
      <c r="D55" s="163" t="s">
        <v>262</v>
      </c>
      <c r="E55" s="164" t="s">
        <v>38</v>
      </c>
      <c r="F55" s="128"/>
      <c r="G55" s="129"/>
      <c r="H55" s="129"/>
      <c r="I55" s="31">
        <v>2</v>
      </c>
      <c r="J55" s="31">
        <v>2</v>
      </c>
      <c r="K55" s="232">
        <v>42156</v>
      </c>
      <c r="L55" s="251"/>
      <c r="M55" s="254"/>
      <c r="U55" s="218">
        <v>60</v>
      </c>
      <c r="V55" s="19" t="s">
        <v>244</v>
      </c>
      <c r="W55" s="19"/>
      <c r="X55" s="241"/>
    </row>
    <row r="56" spans="1:24" ht="30.75" thickTop="1" x14ac:dyDescent="0.25">
      <c r="A56" s="226" t="s">
        <v>136</v>
      </c>
      <c r="B56" s="165" t="s">
        <v>265</v>
      </c>
      <c r="C56" s="165" t="s">
        <v>148</v>
      </c>
      <c r="D56" s="165" t="s">
        <v>250</v>
      </c>
      <c r="E56" s="166" t="s">
        <v>348</v>
      </c>
      <c r="F56" s="130"/>
      <c r="G56" s="130"/>
      <c r="H56" s="130"/>
      <c r="I56" s="32">
        <v>2</v>
      </c>
      <c r="J56" s="32">
        <v>2</v>
      </c>
      <c r="K56" s="87">
        <v>42156</v>
      </c>
      <c r="L56" s="249" t="str">
        <f t="shared" ref="L56:M56" si="1">CONCATENATE("Level"," ",MIN(I56:I65))</f>
        <v>Level 1</v>
      </c>
      <c r="M56" s="252" t="str">
        <f t="shared" si="1"/>
        <v>Level 2</v>
      </c>
      <c r="U56" s="218">
        <v>1</v>
      </c>
      <c r="V56" s="19" t="s">
        <v>244</v>
      </c>
      <c r="W56" s="19"/>
      <c r="X56" s="241"/>
    </row>
    <row r="57" spans="1:24" ht="45" x14ac:dyDescent="0.25">
      <c r="A57" s="227" t="s">
        <v>136</v>
      </c>
      <c r="B57" s="167" t="s">
        <v>265</v>
      </c>
      <c r="C57" s="167" t="s">
        <v>148</v>
      </c>
      <c r="D57" s="199" t="s">
        <v>251</v>
      </c>
      <c r="E57" s="200" t="s">
        <v>348</v>
      </c>
      <c r="F57" s="201"/>
      <c r="G57" s="201"/>
      <c r="H57" s="201"/>
      <c r="I57" s="202">
        <v>2</v>
      </c>
      <c r="J57" s="202">
        <v>2</v>
      </c>
      <c r="K57" s="88">
        <v>42156</v>
      </c>
      <c r="L57" s="250"/>
      <c r="M57" s="253"/>
      <c r="U57" s="218">
        <v>2</v>
      </c>
      <c r="V57" s="19" t="s">
        <v>244</v>
      </c>
      <c r="W57" s="19"/>
      <c r="X57" s="241"/>
    </row>
    <row r="58" spans="1:24" ht="75" x14ac:dyDescent="0.25">
      <c r="A58" s="227" t="s">
        <v>136</v>
      </c>
      <c r="B58" s="167" t="s">
        <v>265</v>
      </c>
      <c r="C58" s="167" t="s">
        <v>148</v>
      </c>
      <c r="D58" s="167" t="s">
        <v>252</v>
      </c>
      <c r="E58" s="169" t="s">
        <v>348</v>
      </c>
      <c r="F58" s="91"/>
      <c r="G58" s="91"/>
      <c r="H58" s="91"/>
      <c r="I58" s="5">
        <v>1</v>
      </c>
      <c r="J58" s="5">
        <v>2</v>
      </c>
      <c r="K58" s="88">
        <v>42156</v>
      </c>
      <c r="L58" s="250"/>
      <c r="M58" s="253"/>
      <c r="U58" s="218">
        <v>3</v>
      </c>
      <c r="V58" s="19" t="s">
        <v>244</v>
      </c>
      <c r="W58" s="19"/>
      <c r="X58" s="241"/>
    </row>
    <row r="59" spans="1:24" ht="30" x14ac:dyDescent="0.25">
      <c r="A59" s="228" t="s">
        <v>136</v>
      </c>
      <c r="B59" s="199" t="s">
        <v>265</v>
      </c>
      <c r="C59" s="199" t="s">
        <v>148</v>
      </c>
      <c r="D59" s="199" t="s">
        <v>263</v>
      </c>
      <c r="E59" s="200" t="s">
        <v>0</v>
      </c>
      <c r="F59" s="201"/>
      <c r="G59" s="201"/>
      <c r="H59" s="201"/>
      <c r="I59" s="202">
        <v>2</v>
      </c>
      <c r="J59" s="202">
        <v>2</v>
      </c>
      <c r="K59" s="88">
        <v>42156</v>
      </c>
      <c r="L59" s="250"/>
      <c r="M59" s="253"/>
      <c r="U59" s="218">
        <v>55</v>
      </c>
      <c r="V59" s="19" t="s">
        <v>244</v>
      </c>
      <c r="W59" s="19"/>
      <c r="X59" s="241"/>
    </row>
    <row r="60" spans="1:24" ht="45" x14ac:dyDescent="0.25">
      <c r="A60" s="227" t="s">
        <v>136</v>
      </c>
      <c r="B60" s="167" t="s">
        <v>265</v>
      </c>
      <c r="C60" s="167" t="s">
        <v>148</v>
      </c>
      <c r="D60" s="167" t="s">
        <v>247</v>
      </c>
      <c r="E60" s="50" t="s">
        <v>34</v>
      </c>
      <c r="F60" s="131"/>
      <c r="G60" s="92"/>
      <c r="H60" s="92"/>
      <c r="I60" s="6">
        <v>2</v>
      </c>
      <c r="J60" s="5">
        <v>2</v>
      </c>
      <c r="K60" s="88">
        <v>42156</v>
      </c>
      <c r="L60" s="250"/>
      <c r="M60" s="253"/>
      <c r="U60" s="218">
        <v>56</v>
      </c>
      <c r="V60" s="19" t="s">
        <v>244</v>
      </c>
      <c r="W60" s="19"/>
      <c r="X60" s="241"/>
    </row>
    <row r="61" spans="1:24" ht="45" x14ac:dyDescent="0.25">
      <c r="A61" s="227" t="s">
        <v>136</v>
      </c>
      <c r="B61" s="167" t="s">
        <v>265</v>
      </c>
      <c r="C61" s="167" t="s">
        <v>148</v>
      </c>
      <c r="D61" s="167" t="s">
        <v>248</v>
      </c>
      <c r="E61" s="50" t="s">
        <v>34</v>
      </c>
      <c r="F61" s="131"/>
      <c r="G61" s="92"/>
      <c r="H61" s="92"/>
      <c r="I61" s="6">
        <v>2</v>
      </c>
      <c r="J61" s="5">
        <v>2</v>
      </c>
      <c r="K61" s="88">
        <v>42156</v>
      </c>
      <c r="L61" s="250"/>
      <c r="M61" s="253"/>
      <c r="U61" s="218">
        <v>56</v>
      </c>
      <c r="V61" s="19" t="s">
        <v>244</v>
      </c>
      <c r="W61" s="19"/>
      <c r="X61" s="241"/>
    </row>
    <row r="62" spans="1:24" ht="60" x14ac:dyDescent="0.25">
      <c r="A62" s="227" t="s">
        <v>136</v>
      </c>
      <c r="B62" s="167" t="s">
        <v>265</v>
      </c>
      <c r="C62" s="167" t="s">
        <v>148</v>
      </c>
      <c r="D62" s="167" t="s">
        <v>264</v>
      </c>
      <c r="E62" s="168" t="s">
        <v>35</v>
      </c>
      <c r="F62" s="93"/>
      <c r="G62" s="93"/>
      <c r="H62" s="93"/>
      <c r="I62" s="6">
        <v>2</v>
      </c>
      <c r="J62" s="5">
        <v>2</v>
      </c>
      <c r="K62" s="88">
        <v>42156</v>
      </c>
      <c r="L62" s="250"/>
      <c r="M62" s="253"/>
      <c r="U62" s="218">
        <v>57</v>
      </c>
      <c r="V62" s="19" t="s">
        <v>244</v>
      </c>
      <c r="W62" s="19"/>
      <c r="X62" s="241"/>
    </row>
    <row r="63" spans="1:24" ht="30" x14ac:dyDescent="0.25">
      <c r="A63" s="227" t="s">
        <v>136</v>
      </c>
      <c r="B63" s="167" t="s">
        <v>265</v>
      </c>
      <c r="C63" s="167" t="s">
        <v>148</v>
      </c>
      <c r="D63" s="167" t="s">
        <v>249</v>
      </c>
      <c r="E63" s="169" t="s">
        <v>36</v>
      </c>
      <c r="F63" s="132"/>
      <c r="G63" s="91"/>
      <c r="H63" s="91"/>
      <c r="I63" s="6">
        <v>2</v>
      </c>
      <c r="J63" s="5">
        <v>2</v>
      </c>
      <c r="K63" s="88">
        <v>42156</v>
      </c>
      <c r="L63" s="250"/>
      <c r="M63" s="253"/>
      <c r="U63" s="218">
        <v>58</v>
      </c>
      <c r="V63" s="19" t="s">
        <v>244</v>
      </c>
      <c r="W63" s="19"/>
      <c r="X63" s="241"/>
    </row>
    <row r="64" spans="1:24" ht="30" x14ac:dyDescent="0.25">
      <c r="A64" s="227" t="s">
        <v>136</v>
      </c>
      <c r="B64" s="167" t="s">
        <v>265</v>
      </c>
      <c r="C64" s="167" t="s">
        <v>148</v>
      </c>
      <c r="D64" s="167" t="s">
        <v>261</v>
      </c>
      <c r="E64" s="50" t="s">
        <v>37</v>
      </c>
      <c r="F64" s="131"/>
      <c r="G64" s="92"/>
      <c r="H64" s="92"/>
      <c r="I64" s="5">
        <v>2</v>
      </c>
      <c r="J64" s="5">
        <v>2</v>
      </c>
      <c r="K64" s="88">
        <v>42156</v>
      </c>
      <c r="L64" s="250"/>
      <c r="M64" s="253"/>
      <c r="U64" s="218">
        <v>59</v>
      </c>
      <c r="V64" s="19" t="s">
        <v>244</v>
      </c>
      <c r="W64" s="19"/>
      <c r="X64" s="241"/>
    </row>
    <row r="65" spans="1:24" ht="45.75" thickBot="1" x14ac:dyDescent="0.3">
      <c r="A65" s="229" t="s">
        <v>136</v>
      </c>
      <c r="B65" s="170" t="s">
        <v>265</v>
      </c>
      <c r="C65" s="170" t="s">
        <v>148</v>
      </c>
      <c r="D65" s="170" t="s">
        <v>262</v>
      </c>
      <c r="E65" s="171" t="s">
        <v>38</v>
      </c>
      <c r="F65" s="133"/>
      <c r="G65" s="101"/>
      <c r="H65" s="101"/>
      <c r="I65" s="33">
        <v>2</v>
      </c>
      <c r="J65" s="33">
        <v>2</v>
      </c>
      <c r="K65" s="89">
        <v>42156</v>
      </c>
      <c r="L65" s="251"/>
      <c r="M65" s="254"/>
      <c r="U65" s="218">
        <v>60</v>
      </c>
      <c r="V65" s="19" t="s">
        <v>244</v>
      </c>
      <c r="W65" s="19"/>
      <c r="X65" s="241"/>
    </row>
    <row r="66" spans="1:24" ht="30.75" thickTop="1" x14ac:dyDescent="0.25">
      <c r="A66" s="230" t="s">
        <v>136</v>
      </c>
      <c r="B66" s="190" t="s">
        <v>265</v>
      </c>
      <c r="C66" s="190" t="s">
        <v>149</v>
      </c>
      <c r="D66" s="190" t="s">
        <v>250</v>
      </c>
      <c r="E66" s="191" t="s">
        <v>348</v>
      </c>
      <c r="F66" s="192"/>
      <c r="G66" s="192"/>
      <c r="H66" s="192"/>
      <c r="I66" s="193">
        <v>2</v>
      </c>
      <c r="J66" s="193">
        <v>2</v>
      </c>
      <c r="K66" s="233">
        <v>42156</v>
      </c>
      <c r="L66" s="250" t="str">
        <f t="shared" ref="L66:M66" si="2">CONCATENATE("Level"," ",MIN(I66:I75))</f>
        <v>Level 1</v>
      </c>
      <c r="M66" s="253" t="str">
        <f t="shared" si="2"/>
        <v>Level 2</v>
      </c>
      <c r="U66" s="218">
        <v>1</v>
      </c>
      <c r="V66" s="19" t="s">
        <v>244</v>
      </c>
      <c r="W66" s="19"/>
      <c r="X66" s="241"/>
    </row>
    <row r="67" spans="1:24" ht="45" x14ac:dyDescent="0.25">
      <c r="A67" s="224" t="s">
        <v>136</v>
      </c>
      <c r="B67" s="160" t="s">
        <v>265</v>
      </c>
      <c r="C67" s="160" t="s">
        <v>149</v>
      </c>
      <c r="D67" s="190" t="s">
        <v>266</v>
      </c>
      <c r="E67" s="191" t="s">
        <v>348</v>
      </c>
      <c r="F67" s="192"/>
      <c r="G67" s="192"/>
      <c r="H67" s="192"/>
      <c r="I67" s="193">
        <v>2</v>
      </c>
      <c r="J67" s="193">
        <v>2</v>
      </c>
      <c r="K67" s="85">
        <v>42156</v>
      </c>
      <c r="L67" s="250"/>
      <c r="M67" s="253"/>
      <c r="U67" s="218">
        <v>2</v>
      </c>
      <c r="V67" s="19" t="s">
        <v>244</v>
      </c>
      <c r="W67" s="19"/>
      <c r="X67" s="241"/>
    </row>
    <row r="68" spans="1:24" ht="75" x14ac:dyDescent="0.25">
      <c r="A68" s="224" t="s">
        <v>136</v>
      </c>
      <c r="B68" s="160" t="s">
        <v>265</v>
      </c>
      <c r="C68" s="160" t="s">
        <v>149</v>
      </c>
      <c r="D68" s="160" t="s">
        <v>252</v>
      </c>
      <c r="E68" s="162" t="s">
        <v>348</v>
      </c>
      <c r="F68" s="98"/>
      <c r="G68" s="98"/>
      <c r="H68" s="98"/>
      <c r="I68" s="26">
        <v>1</v>
      </c>
      <c r="J68" s="26">
        <v>2</v>
      </c>
      <c r="K68" s="85">
        <v>42156</v>
      </c>
      <c r="L68" s="250"/>
      <c r="M68" s="253"/>
      <c r="U68" s="218">
        <v>3</v>
      </c>
      <c r="V68" s="19" t="s">
        <v>244</v>
      </c>
      <c r="W68" s="19"/>
      <c r="X68" s="241"/>
    </row>
    <row r="69" spans="1:24" ht="30" x14ac:dyDescent="0.25">
      <c r="A69" s="230" t="s">
        <v>136</v>
      </c>
      <c r="B69" s="190" t="s">
        <v>265</v>
      </c>
      <c r="C69" s="190" t="s">
        <v>149</v>
      </c>
      <c r="D69" s="190" t="s">
        <v>263</v>
      </c>
      <c r="E69" s="191" t="s">
        <v>0</v>
      </c>
      <c r="F69" s="192"/>
      <c r="G69" s="192"/>
      <c r="H69" s="192"/>
      <c r="I69" s="193">
        <v>1</v>
      </c>
      <c r="J69" s="193">
        <v>2</v>
      </c>
      <c r="K69" s="85">
        <v>42156</v>
      </c>
      <c r="L69" s="250"/>
      <c r="M69" s="253"/>
      <c r="U69" s="218">
        <v>55</v>
      </c>
      <c r="V69" s="19" t="s">
        <v>244</v>
      </c>
      <c r="W69" s="19"/>
      <c r="X69" s="241"/>
    </row>
    <row r="70" spans="1:24" ht="45" x14ac:dyDescent="0.25">
      <c r="A70" s="224" t="s">
        <v>136</v>
      </c>
      <c r="B70" s="160" t="s">
        <v>265</v>
      </c>
      <c r="C70" s="160" t="s">
        <v>149</v>
      </c>
      <c r="D70" s="160" t="s">
        <v>247</v>
      </c>
      <c r="E70" s="47" t="s">
        <v>34</v>
      </c>
      <c r="F70" s="126"/>
      <c r="G70" s="97"/>
      <c r="H70" s="97"/>
      <c r="I70" s="25">
        <v>2</v>
      </c>
      <c r="J70" s="26">
        <v>3</v>
      </c>
      <c r="K70" s="85">
        <v>42156</v>
      </c>
      <c r="L70" s="250"/>
      <c r="M70" s="253"/>
      <c r="U70" s="218">
        <v>56</v>
      </c>
      <c r="V70" s="19" t="s">
        <v>244</v>
      </c>
      <c r="W70" s="19"/>
      <c r="X70" s="241"/>
    </row>
    <row r="71" spans="1:24" ht="45" x14ac:dyDescent="0.25">
      <c r="A71" s="224" t="s">
        <v>136</v>
      </c>
      <c r="B71" s="160" t="s">
        <v>265</v>
      </c>
      <c r="C71" s="160" t="s">
        <v>149</v>
      </c>
      <c r="D71" s="160" t="s">
        <v>248</v>
      </c>
      <c r="E71" s="47" t="s">
        <v>34</v>
      </c>
      <c r="F71" s="126"/>
      <c r="G71" s="97"/>
      <c r="H71" s="97"/>
      <c r="I71" s="25">
        <v>2</v>
      </c>
      <c r="J71" s="26">
        <v>3</v>
      </c>
      <c r="K71" s="85">
        <v>42156</v>
      </c>
      <c r="L71" s="250"/>
      <c r="M71" s="253"/>
      <c r="U71" s="218">
        <v>56</v>
      </c>
      <c r="V71" s="19" t="s">
        <v>244</v>
      </c>
      <c r="W71" s="19"/>
      <c r="X71" s="241"/>
    </row>
    <row r="72" spans="1:24" ht="60" x14ac:dyDescent="0.25">
      <c r="A72" s="224" t="s">
        <v>136</v>
      </c>
      <c r="B72" s="160" t="s">
        <v>265</v>
      </c>
      <c r="C72" s="160" t="s">
        <v>149</v>
      </c>
      <c r="D72" s="160" t="s">
        <v>264</v>
      </c>
      <c r="E72" s="161" t="s">
        <v>35</v>
      </c>
      <c r="F72" s="96"/>
      <c r="G72" s="96"/>
      <c r="H72" s="96"/>
      <c r="I72" s="25">
        <v>2</v>
      </c>
      <c r="J72" s="26">
        <v>3</v>
      </c>
      <c r="K72" s="85">
        <v>42156</v>
      </c>
      <c r="L72" s="250"/>
      <c r="M72" s="253"/>
      <c r="U72" s="218">
        <v>57</v>
      </c>
      <c r="V72" s="19" t="s">
        <v>244</v>
      </c>
      <c r="W72" s="19"/>
      <c r="X72" s="241"/>
    </row>
    <row r="73" spans="1:24" ht="30" x14ac:dyDescent="0.25">
      <c r="A73" s="224" t="s">
        <v>136</v>
      </c>
      <c r="B73" s="160" t="s">
        <v>265</v>
      </c>
      <c r="C73" s="160" t="s">
        <v>149</v>
      </c>
      <c r="D73" s="160" t="s">
        <v>249</v>
      </c>
      <c r="E73" s="162" t="s">
        <v>36</v>
      </c>
      <c r="F73" s="127"/>
      <c r="G73" s="98"/>
      <c r="H73" s="98"/>
      <c r="I73" s="25">
        <v>2</v>
      </c>
      <c r="J73" s="26">
        <v>3</v>
      </c>
      <c r="K73" s="85">
        <v>42156</v>
      </c>
      <c r="L73" s="250"/>
      <c r="M73" s="253"/>
      <c r="U73" s="218">
        <v>58</v>
      </c>
      <c r="V73" s="19" t="s">
        <v>244</v>
      </c>
      <c r="W73" s="19"/>
      <c r="X73" s="241"/>
    </row>
    <row r="74" spans="1:24" ht="30" x14ac:dyDescent="0.25">
      <c r="A74" s="224" t="s">
        <v>136</v>
      </c>
      <c r="B74" s="160" t="s">
        <v>265</v>
      </c>
      <c r="C74" s="160" t="s">
        <v>149</v>
      </c>
      <c r="D74" s="160" t="s">
        <v>261</v>
      </c>
      <c r="E74" s="47" t="s">
        <v>37</v>
      </c>
      <c r="F74" s="126"/>
      <c r="G74" s="97"/>
      <c r="H74" s="97"/>
      <c r="I74" s="26">
        <v>2</v>
      </c>
      <c r="J74" s="26">
        <v>2</v>
      </c>
      <c r="K74" s="85">
        <v>42156</v>
      </c>
      <c r="L74" s="250"/>
      <c r="M74" s="253"/>
      <c r="U74" s="218">
        <v>59</v>
      </c>
      <c r="V74" s="19" t="s">
        <v>244</v>
      </c>
      <c r="W74" s="19"/>
      <c r="X74" s="241"/>
    </row>
    <row r="75" spans="1:24" ht="45.75" thickBot="1" x14ac:dyDescent="0.3">
      <c r="A75" s="225" t="s">
        <v>136</v>
      </c>
      <c r="B75" s="163" t="s">
        <v>265</v>
      </c>
      <c r="C75" s="163" t="s">
        <v>149</v>
      </c>
      <c r="D75" s="197" t="s">
        <v>262</v>
      </c>
      <c r="E75" s="164" t="s">
        <v>38</v>
      </c>
      <c r="F75" s="128"/>
      <c r="G75" s="129"/>
      <c r="H75" s="129"/>
      <c r="I75" s="31">
        <v>2</v>
      </c>
      <c r="J75" s="31">
        <v>2</v>
      </c>
      <c r="K75" s="232">
        <v>42156</v>
      </c>
      <c r="L75" s="251"/>
      <c r="M75" s="254"/>
      <c r="U75" s="218">
        <v>60</v>
      </c>
      <c r="V75" s="19" t="s">
        <v>244</v>
      </c>
      <c r="W75" s="19"/>
      <c r="X75" s="241"/>
    </row>
    <row r="76" spans="1:24" ht="30.75" thickTop="1" x14ac:dyDescent="0.25">
      <c r="A76" s="226" t="s">
        <v>136</v>
      </c>
      <c r="B76" s="165" t="s">
        <v>265</v>
      </c>
      <c r="C76" s="165" t="s">
        <v>150</v>
      </c>
      <c r="D76" s="165" t="s">
        <v>250</v>
      </c>
      <c r="E76" s="166" t="s">
        <v>348</v>
      </c>
      <c r="F76" s="130"/>
      <c r="G76" s="130"/>
      <c r="H76" s="130"/>
      <c r="I76" s="32">
        <v>3</v>
      </c>
      <c r="J76" s="32">
        <v>3</v>
      </c>
      <c r="K76" s="87">
        <v>42156</v>
      </c>
      <c r="L76" s="249" t="str">
        <f t="shared" ref="L76:M76" si="3">CONCATENATE("Level"," ",MIN(I76:I85))</f>
        <v>Level 2</v>
      </c>
      <c r="M76" s="252" t="str">
        <f t="shared" si="3"/>
        <v>Level 2</v>
      </c>
      <c r="U76" s="218">
        <v>1</v>
      </c>
      <c r="V76" s="19" t="s">
        <v>244</v>
      </c>
      <c r="W76" s="19" t="s">
        <v>209</v>
      </c>
      <c r="X76" s="240"/>
    </row>
    <row r="77" spans="1:24" ht="45" x14ac:dyDescent="0.25">
      <c r="A77" s="228" t="s">
        <v>136</v>
      </c>
      <c r="B77" s="199" t="s">
        <v>265</v>
      </c>
      <c r="C77" s="199" t="s">
        <v>150</v>
      </c>
      <c r="D77" s="199" t="s">
        <v>266</v>
      </c>
      <c r="E77" s="200" t="s">
        <v>348</v>
      </c>
      <c r="F77" s="201"/>
      <c r="G77" s="201"/>
      <c r="H77" s="201"/>
      <c r="I77" s="202">
        <v>2</v>
      </c>
      <c r="J77" s="202">
        <v>2</v>
      </c>
      <c r="K77" s="88">
        <v>42156</v>
      </c>
      <c r="L77" s="250"/>
      <c r="M77" s="253"/>
      <c r="U77" s="218">
        <v>2</v>
      </c>
      <c r="V77" s="19" t="s">
        <v>244</v>
      </c>
      <c r="W77" s="19" t="s">
        <v>209</v>
      </c>
      <c r="X77" s="240"/>
    </row>
    <row r="78" spans="1:24" ht="75" x14ac:dyDescent="0.25">
      <c r="A78" s="228" t="s">
        <v>136</v>
      </c>
      <c r="B78" s="199" t="s">
        <v>265</v>
      </c>
      <c r="C78" s="199" t="s">
        <v>150</v>
      </c>
      <c r="D78" s="199" t="s">
        <v>252</v>
      </c>
      <c r="E78" s="200" t="s">
        <v>348</v>
      </c>
      <c r="F78" s="201"/>
      <c r="G78" s="201"/>
      <c r="H78" s="201"/>
      <c r="I78" s="202">
        <v>2</v>
      </c>
      <c r="J78" s="202">
        <v>3</v>
      </c>
      <c r="K78" s="88">
        <v>42156</v>
      </c>
      <c r="L78" s="250"/>
      <c r="M78" s="253"/>
      <c r="U78" s="218">
        <v>3</v>
      </c>
      <c r="V78" s="19" t="s">
        <v>244</v>
      </c>
      <c r="W78" s="19" t="s">
        <v>209</v>
      </c>
      <c r="X78" s="240"/>
    </row>
    <row r="79" spans="1:24" ht="30" x14ac:dyDescent="0.25">
      <c r="A79" s="228" t="s">
        <v>136</v>
      </c>
      <c r="B79" s="199" t="s">
        <v>265</v>
      </c>
      <c r="C79" s="199" t="s">
        <v>150</v>
      </c>
      <c r="D79" s="199" t="s">
        <v>263</v>
      </c>
      <c r="E79" s="200" t="s">
        <v>0</v>
      </c>
      <c r="F79" s="201"/>
      <c r="G79" s="201"/>
      <c r="H79" s="201"/>
      <c r="I79" s="202">
        <v>2</v>
      </c>
      <c r="J79" s="202">
        <v>3</v>
      </c>
      <c r="K79" s="88">
        <v>42156</v>
      </c>
      <c r="L79" s="250"/>
      <c r="M79" s="253"/>
      <c r="U79" s="218">
        <v>55</v>
      </c>
      <c r="V79" s="19" t="s">
        <v>244</v>
      </c>
      <c r="W79" s="19" t="s">
        <v>209</v>
      </c>
      <c r="X79" s="240"/>
    </row>
    <row r="80" spans="1:24" ht="45" x14ac:dyDescent="0.25">
      <c r="A80" s="227" t="s">
        <v>136</v>
      </c>
      <c r="B80" s="167" t="s">
        <v>265</v>
      </c>
      <c r="C80" s="167" t="s">
        <v>150</v>
      </c>
      <c r="D80" s="167" t="s">
        <v>247</v>
      </c>
      <c r="E80" s="50" t="s">
        <v>34</v>
      </c>
      <c r="F80" s="131"/>
      <c r="G80" s="92"/>
      <c r="H80" s="92"/>
      <c r="I80" s="6">
        <v>2</v>
      </c>
      <c r="J80" s="5">
        <v>2</v>
      </c>
      <c r="K80" s="88">
        <v>42156</v>
      </c>
      <c r="L80" s="250"/>
      <c r="M80" s="253"/>
      <c r="U80" s="218">
        <v>56</v>
      </c>
      <c r="V80" s="19" t="s">
        <v>244</v>
      </c>
      <c r="W80" s="19" t="s">
        <v>209</v>
      </c>
      <c r="X80" s="240"/>
    </row>
    <row r="81" spans="1:24" ht="45" x14ac:dyDescent="0.25">
      <c r="A81" s="227" t="s">
        <v>136</v>
      </c>
      <c r="B81" s="167" t="s">
        <v>265</v>
      </c>
      <c r="C81" s="167" t="s">
        <v>150</v>
      </c>
      <c r="D81" s="167" t="s">
        <v>248</v>
      </c>
      <c r="E81" s="50" t="s">
        <v>34</v>
      </c>
      <c r="F81" s="131"/>
      <c r="G81" s="92"/>
      <c r="H81" s="92"/>
      <c r="I81" s="6">
        <v>2</v>
      </c>
      <c r="J81" s="5">
        <v>3</v>
      </c>
      <c r="K81" s="88">
        <v>42156</v>
      </c>
      <c r="L81" s="250"/>
      <c r="M81" s="253"/>
      <c r="U81" s="218">
        <v>56</v>
      </c>
      <c r="V81" s="19" t="s">
        <v>244</v>
      </c>
      <c r="W81" s="19" t="s">
        <v>209</v>
      </c>
      <c r="X81" s="240"/>
    </row>
    <row r="82" spans="1:24" ht="45" x14ac:dyDescent="0.25">
      <c r="A82" s="227" t="s">
        <v>136</v>
      </c>
      <c r="B82" s="167" t="s">
        <v>265</v>
      </c>
      <c r="C82" s="167" t="s">
        <v>150</v>
      </c>
      <c r="D82" s="167" t="s">
        <v>260</v>
      </c>
      <c r="E82" s="168" t="s">
        <v>35</v>
      </c>
      <c r="F82" s="93"/>
      <c r="G82" s="93"/>
      <c r="H82" s="93"/>
      <c r="I82" s="6">
        <v>2</v>
      </c>
      <c r="J82" s="5">
        <v>3</v>
      </c>
      <c r="K82" s="88">
        <v>42156</v>
      </c>
      <c r="L82" s="250"/>
      <c r="M82" s="253"/>
      <c r="U82" s="218">
        <v>57</v>
      </c>
      <c r="V82" s="19" t="s">
        <v>244</v>
      </c>
      <c r="W82" s="19" t="s">
        <v>209</v>
      </c>
      <c r="X82" s="240"/>
    </row>
    <row r="83" spans="1:24" ht="30" x14ac:dyDescent="0.25">
      <c r="A83" s="227" t="s">
        <v>136</v>
      </c>
      <c r="B83" s="167" t="s">
        <v>265</v>
      </c>
      <c r="C83" s="167" t="s">
        <v>150</v>
      </c>
      <c r="D83" s="167" t="s">
        <v>249</v>
      </c>
      <c r="E83" s="169" t="s">
        <v>36</v>
      </c>
      <c r="F83" s="132"/>
      <c r="G83" s="91"/>
      <c r="H83" s="91"/>
      <c r="I83" s="6">
        <v>2</v>
      </c>
      <c r="J83" s="5">
        <v>3</v>
      </c>
      <c r="K83" s="88">
        <v>42156</v>
      </c>
      <c r="L83" s="250"/>
      <c r="M83" s="253"/>
      <c r="U83" s="218">
        <v>58</v>
      </c>
      <c r="V83" s="19" t="s">
        <v>244</v>
      </c>
      <c r="W83" s="19" t="s">
        <v>209</v>
      </c>
      <c r="X83" s="240"/>
    </row>
    <row r="84" spans="1:24" ht="30" x14ac:dyDescent="0.25">
      <c r="A84" s="227" t="s">
        <v>136</v>
      </c>
      <c r="B84" s="167" t="s">
        <v>265</v>
      </c>
      <c r="C84" s="167" t="s">
        <v>150</v>
      </c>
      <c r="D84" s="167" t="s">
        <v>261</v>
      </c>
      <c r="E84" s="50" t="s">
        <v>37</v>
      </c>
      <c r="F84" s="131"/>
      <c r="G84" s="92"/>
      <c r="H84" s="92"/>
      <c r="I84" s="5">
        <v>2</v>
      </c>
      <c r="J84" s="5">
        <v>3</v>
      </c>
      <c r="K84" s="88">
        <v>42156</v>
      </c>
      <c r="L84" s="250"/>
      <c r="M84" s="253"/>
      <c r="U84" s="218">
        <v>59</v>
      </c>
      <c r="V84" s="19" t="s">
        <v>244</v>
      </c>
      <c r="W84" s="19" t="s">
        <v>209</v>
      </c>
      <c r="X84" s="240"/>
    </row>
    <row r="85" spans="1:24" ht="45.75" thickBot="1" x14ac:dyDescent="0.3">
      <c r="A85" s="229" t="s">
        <v>136</v>
      </c>
      <c r="B85" s="170" t="s">
        <v>265</v>
      </c>
      <c r="C85" s="170" t="s">
        <v>150</v>
      </c>
      <c r="D85" s="170" t="s">
        <v>262</v>
      </c>
      <c r="E85" s="171" t="s">
        <v>38</v>
      </c>
      <c r="F85" s="133"/>
      <c r="G85" s="101"/>
      <c r="H85" s="101"/>
      <c r="I85" s="33">
        <v>2</v>
      </c>
      <c r="J85" s="33">
        <v>3</v>
      </c>
      <c r="K85" s="89">
        <v>42156</v>
      </c>
      <c r="L85" s="251"/>
      <c r="M85" s="254"/>
      <c r="U85" s="218">
        <v>60</v>
      </c>
      <c r="V85" s="19" t="s">
        <v>244</v>
      </c>
      <c r="W85" s="19" t="s">
        <v>209</v>
      </c>
      <c r="X85" s="240"/>
    </row>
    <row r="86" spans="1:24" ht="30.75" thickTop="1" x14ac:dyDescent="0.25">
      <c r="A86" s="231" t="s">
        <v>136</v>
      </c>
      <c r="B86" s="158" t="s">
        <v>265</v>
      </c>
      <c r="C86" s="158" t="s">
        <v>151</v>
      </c>
      <c r="D86" s="190" t="s">
        <v>250</v>
      </c>
      <c r="E86" s="159" t="s">
        <v>348</v>
      </c>
      <c r="F86" s="63"/>
      <c r="G86" s="63"/>
      <c r="H86" s="63"/>
      <c r="I86" s="30">
        <v>2</v>
      </c>
      <c r="J86" s="30">
        <v>3</v>
      </c>
      <c r="K86" s="84">
        <v>42156</v>
      </c>
      <c r="L86" s="249" t="str">
        <f t="shared" ref="L86:M86" si="4">CONCATENATE("Level"," ",MIN(I86:I95))</f>
        <v>Level 1</v>
      </c>
      <c r="M86" s="252" t="str">
        <f t="shared" si="4"/>
        <v>Level 2</v>
      </c>
      <c r="U86" s="218">
        <v>1</v>
      </c>
      <c r="V86" s="19" t="s">
        <v>244</v>
      </c>
      <c r="W86" s="19"/>
      <c r="X86" s="241"/>
    </row>
    <row r="87" spans="1:24" ht="45" x14ac:dyDescent="0.25">
      <c r="A87" s="230" t="s">
        <v>136</v>
      </c>
      <c r="B87" s="190" t="s">
        <v>265</v>
      </c>
      <c r="C87" s="190" t="s">
        <v>151</v>
      </c>
      <c r="D87" s="190" t="s">
        <v>266</v>
      </c>
      <c r="E87" s="191" t="s">
        <v>348</v>
      </c>
      <c r="F87" s="192"/>
      <c r="G87" s="192"/>
      <c r="H87" s="192"/>
      <c r="I87" s="193">
        <v>2</v>
      </c>
      <c r="J87" s="193">
        <v>3</v>
      </c>
      <c r="K87" s="85">
        <v>42156</v>
      </c>
      <c r="L87" s="250"/>
      <c r="M87" s="253"/>
      <c r="U87" s="218">
        <v>2</v>
      </c>
      <c r="V87" s="19" t="s">
        <v>244</v>
      </c>
      <c r="W87" s="19"/>
      <c r="X87" s="241"/>
    </row>
    <row r="88" spans="1:24" ht="75.75" thickBot="1" x14ac:dyDescent="0.3">
      <c r="A88" s="230" t="s">
        <v>136</v>
      </c>
      <c r="B88" s="190" t="s">
        <v>265</v>
      </c>
      <c r="C88" s="190" t="s">
        <v>151</v>
      </c>
      <c r="D88" s="197" t="s">
        <v>252</v>
      </c>
      <c r="E88" s="191" t="s">
        <v>348</v>
      </c>
      <c r="F88" s="192"/>
      <c r="G88" s="192"/>
      <c r="H88" s="192"/>
      <c r="I88" s="193">
        <v>1</v>
      </c>
      <c r="J88" s="193">
        <v>2</v>
      </c>
      <c r="K88" s="85">
        <v>42156</v>
      </c>
      <c r="L88" s="250"/>
      <c r="M88" s="253"/>
      <c r="U88" s="218">
        <v>3</v>
      </c>
      <c r="V88" s="19" t="s">
        <v>244</v>
      </c>
      <c r="W88" s="19"/>
      <c r="X88" s="241"/>
    </row>
    <row r="89" spans="1:24" ht="30" x14ac:dyDescent="0.25">
      <c r="A89" s="230" t="s">
        <v>136</v>
      </c>
      <c r="B89" s="190" t="s">
        <v>265</v>
      </c>
      <c r="C89" s="190" t="s">
        <v>151</v>
      </c>
      <c r="D89" s="190" t="s">
        <v>263</v>
      </c>
      <c r="E89" s="191" t="s">
        <v>0</v>
      </c>
      <c r="F89" s="192"/>
      <c r="G89" s="192"/>
      <c r="H89" s="192"/>
      <c r="I89" s="193">
        <v>2</v>
      </c>
      <c r="J89" s="193">
        <v>3</v>
      </c>
      <c r="K89" s="85">
        <v>42156</v>
      </c>
      <c r="L89" s="250"/>
      <c r="M89" s="253"/>
      <c r="U89" s="218">
        <v>55</v>
      </c>
      <c r="V89" s="19" t="s">
        <v>244</v>
      </c>
      <c r="W89" s="19"/>
      <c r="X89" s="241"/>
    </row>
    <row r="90" spans="1:24" ht="45" x14ac:dyDescent="0.25">
      <c r="A90" s="224" t="s">
        <v>136</v>
      </c>
      <c r="B90" s="160" t="s">
        <v>265</v>
      </c>
      <c r="C90" s="160" t="s">
        <v>151</v>
      </c>
      <c r="D90" s="160" t="s">
        <v>247</v>
      </c>
      <c r="E90" s="47" t="s">
        <v>34</v>
      </c>
      <c r="F90" s="126"/>
      <c r="G90" s="97"/>
      <c r="H90" s="97"/>
      <c r="I90" s="25">
        <v>1</v>
      </c>
      <c r="J90" s="26">
        <v>2</v>
      </c>
      <c r="K90" s="85">
        <v>42156</v>
      </c>
      <c r="L90" s="250"/>
      <c r="M90" s="253"/>
      <c r="U90" s="218">
        <v>56</v>
      </c>
      <c r="V90" s="19" t="s">
        <v>244</v>
      </c>
      <c r="W90" s="19"/>
      <c r="X90" s="241"/>
    </row>
    <row r="91" spans="1:24" ht="45" x14ac:dyDescent="0.25">
      <c r="A91" s="224" t="s">
        <v>136</v>
      </c>
      <c r="B91" s="160" t="s">
        <v>265</v>
      </c>
      <c r="C91" s="160" t="s">
        <v>151</v>
      </c>
      <c r="D91" s="160" t="s">
        <v>248</v>
      </c>
      <c r="E91" s="47" t="s">
        <v>34</v>
      </c>
      <c r="F91" s="126"/>
      <c r="G91" s="97"/>
      <c r="H91" s="97"/>
      <c r="I91" s="25">
        <v>2</v>
      </c>
      <c r="J91" s="26">
        <v>3</v>
      </c>
      <c r="K91" s="85">
        <v>42156</v>
      </c>
      <c r="L91" s="250"/>
      <c r="M91" s="253"/>
      <c r="U91" s="218">
        <v>56</v>
      </c>
      <c r="V91" s="19" t="s">
        <v>244</v>
      </c>
      <c r="W91" s="19"/>
      <c r="X91" s="241"/>
    </row>
    <row r="92" spans="1:24" ht="45" x14ac:dyDescent="0.25">
      <c r="A92" s="224" t="s">
        <v>136</v>
      </c>
      <c r="B92" s="160" t="s">
        <v>265</v>
      </c>
      <c r="C92" s="160" t="s">
        <v>151</v>
      </c>
      <c r="D92" s="160" t="s">
        <v>260</v>
      </c>
      <c r="E92" s="161" t="s">
        <v>35</v>
      </c>
      <c r="F92" s="96"/>
      <c r="G92" s="96"/>
      <c r="H92" s="96"/>
      <c r="I92" s="25">
        <v>2</v>
      </c>
      <c r="J92" s="26">
        <v>3</v>
      </c>
      <c r="K92" s="85">
        <v>42156</v>
      </c>
      <c r="L92" s="250"/>
      <c r="M92" s="253"/>
      <c r="U92" s="218">
        <v>57</v>
      </c>
      <c r="V92" s="19" t="s">
        <v>244</v>
      </c>
      <c r="W92" s="19"/>
      <c r="X92" s="241"/>
    </row>
    <row r="93" spans="1:24" ht="30" x14ac:dyDescent="0.25">
      <c r="A93" s="224" t="s">
        <v>136</v>
      </c>
      <c r="B93" s="160" t="s">
        <v>265</v>
      </c>
      <c r="C93" s="160" t="s">
        <v>151</v>
      </c>
      <c r="D93" s="160" t="s">
        <v>249</v>
      </c>
      <c r="E93" s="162" t="s">
        <v>36</v>
      </c>
      <c r="F93" s="127"/>
      <c r="G93" s="98"/>
      <c r="H93" s="98"/>
      <c r="I93" s="25">
        <v>2</v>
      </c>
      <c r="J93" s="26">
        <v>3</v>
      </c>
      <c r="K93" s="85">
        <v>42156</v>
      </c>
      <c r="L93" s="250"/>
      <c r="M93" s="253"/>
      <c r="U93" s="218">
        <v>58</v>
      </c>
      <c r="V93" s="19" t="s">
        <v>244</v>
      </c>
      <c r="W93" s="19"/>
      <c r="X93" s="241"/>
    </row>
    <row r="94" spans="1:24" ht="30" x14ac:dyDescent="0.25">
      <c r="A94" s="224" t="s">
        <v>136</v>
      </c>
      <c r="B94" s="160" t="s">
        <v>265</v>
      </c>
      <c r="C94" s="160" t="s">
        <v>151</v>
      </c>
      <c r="D94" s="160" t="s">
        <v>261</v>
      </c>
      <c r="E94" s="47" t="s">
        <v>37</v>
      </c>
      <c r="F94" s="126"/>
      <c r="G94" s="97"/>
      <c r="H94" s="97"/>
      <c r="I94" s="26">
        <v>2</v>
      </c>
      <c r="J94" s="26">
        <v>3</v>
      </c>
      <c r="K94" s="85">
        <v>42156</v>
      </c>
      <c r="L94" s="250"/>
      <c r="M94" s="253"/>
      <c r="U94" s="218">
        <v>59</v>
      </c>
      <c r="V94" s="19" t="s">
        <v>244</v>
      </c>
      <c r="W94" s="19"/>
      <c r="X94" s="241"/>
    </row>
    <row r="95" spans="1:24" ht="45.75" thickBot="1" x14ac:dyDescent="0.3">
      <c r="A95" s="225" t="s">
        <v>136</v>
      </c>
      <c r="B95" s="163" t="s">
        <v>265</v>
      </c>
      <c r="C95" s="163" t="s">
        <v>151</v>
      </c>
      <c r="D95" s="163" t="s">
        <v>262</v>
      </c>
      <c r="E95" s="164" t="s">
        <v>38</v>
      </c>
      <c r="F95" s="128"/>
      <c r="G95" s="129"/>
      <c r="H95" s="129"/>
      <c r="I95" s="31">
        <v>2</v>
      </c>
      <c r="J95" s="31">
        <v>3</v>
      </c>
      <c r="K95" s="86">
        <v>42156</v>
      </c>
      <c r="L95" s="251"/>
      <c r="M95" s="254"/>
      <c r="U95" s="218">
        <v>60</v>
      </c>
      <c r="V95" s="19" t="s">
        <v>244</v>
      </c>
      <c r="W95" s="19"/>
      <c r="X95" s="241"/>
    </row>
    <row r="96" spans="1:24" ht="30.75" thickTop="1" x14ac:dyDescent="0.25">
      <c r="A96" s="226" t="s">
        <v>136</v>
      </c>
      <c r="B96" s="165" t="s">
        <v>265</v>
      </c>
      <c r="C96" s="165" t="s">
        <v>152</v>
      </c>
      <c r="D96" s="165" t="s">
        <v>250</v>
      </c>
      <c r="E96" s="166" t="s">
        <v>348</v>
      </c>
      <c r="F96" s="130"/>
      <c r="G96" s="130"/>
      <c r="H96" s="130"/>
      <c r="I96" s="32">
        <v>2</v>
      </c>
      <c r="J96" s="32">
        <v>2</v>
      </c>
      <c r="K96" s="87">
        <v>42156</v>
      </c>
      <c r="L96" s="250" t="str">
        <f t="shared" ref="L96:M96" si="5">CONCATENATE("Level"," ",MIN(I96:I105))</f>
        <v>Level 1</v>
      </c>
      <c r="M96" s="253" t="str">
        <f t="shared" si="5"/>
        <v>Level 2</v>
      </c>
      <c r="U96" s="218">
        <v>1</v>
      </c>
      <c r="V96" s="19" t="s">
        <v>244</v>
      </c>
      <c r="W96" s="19"/>
      <c r="X96" s="241"/>
    </row>
    <row r="97" spans="1:24" ht="45" x14ac:dyDescent="0.25">
      <c r="A97" s="228" t="s">
        <v>136</v>
      </c>
      <c r="B97" s="199" t="s">
        <v>265</v>
      </c>
      <c r="C97" s="199" t="s">
        <v>152</v>
      </c>
      <c r="D97" s="199" t="s">
        <v>266</v>
      </c>
      <c r="E97" s="200" t="s">
        <v>348</v>
      </c>
      <c r="F97" s="201"/>
      <c r="G97" s="201"/>
      <c r="H97" s="201"/>
      <c r="I97" s="202">
        <v>2</v>
      </c>
      <c r="J97" s="202">
        <v>2</v>
      </c>
      <c r="K97" s="88">
        <v>42156</v>
      </c>
      <c r="L97" s="250"/>
      <c r="M97" s="253"/>
      <c r="U97" s="218">
        <v>2</v>
      </c>
      <c r="V97" s="19" t="s">
        <v>244</v>
      </c>
      <c r="W97" s="19"/>
      <c r="X97" s="241"/>
    </row>
    <row r="98" spans="1:24" ht="60" x14ac:dyDescent="0.25">
      <c r="A98" s="228" t="s">
        <v>136</v>
      </c>
      <c r="B98" s="199" t="s">
        <v>265</v>
      </c>
      <c r="C98" s="199" t="s">
        <v>152</v>
      </c>
      <c r="D98" s="199" t="s">
        <v>267</v>
      </c>
      <c r="E98" s="200" t="s">
        <v>348</v>
      </c>
      <c r="F98" s="201"/>
      <c r="G98" s="201"/>
      <c r="H98" s="201"/>
      <c r="I98" s="202">
        <v>1</v>
      </c>
      <c r="J98" s="202">
        <v>2</v>
      </c>
      <c r="K98" s="88">
        <v>42156</v>
      </c>
      <c r="L98" s="250"/>
      <c r="M98" s="253"/>
      <c r="U98" s="218">
        <v>5</v>
      </c>
      <c r="V98" s="19" t="s">
        <v>244</v>
      </c>
      <c r="W98" s="19"/>
      <c r="X98" s="241"/>
    </row>
    <row r="99" spans="1:24" ht="30" x14ac:dyDescent="0.25">
      <c r="A99" s="228" t="s">
        <v>136</v>
      </c>
      <c r="B99" s="199" t="s">
        <v>265</v>
      </c>
      <c r="C99" s="199" t="s">
        <v>152</v>
      </c>
      <c r="D99" s="199" t="s">
        <v>263</v>
      </c>
      <c r="E99" s="200" t="s">
        <v>0</v>
      </c>
      <c r="F99" s="201"/>
      <c r="G99" s="201"/>
      <c r="H99" s="201"/>
      <c r="I99" s="202">
        <v>2</v>
      </c>
      <c r="J99" s="202">
        <v>3</v>
      </c>
      <c r="K99" s="88">
        <v>42156</v>
      </c>
      <c r="L99" s="250"/>
      <c r="M99" s="253"/>
      <c r="U99" s="218">
        <v>55</v>
      </c>
      <c r="V99" s="19" t="s">
        <v>244</v>
      </c>
      <c r="W99" s="19"/>
      <c r="X99" s="241"/>
    </row>
    <row r="100" spans="1:24" ht="45" x14ac:dyDescent="0.25">
      <c r="A100" s="227" t="s">
        <v>136</v>
      </c>
      <c r="B100" s="167" t="s">
        <v>265</v>
      </c>
      <c r="C100" s="167" t="s">
        <v>152</v>
      </c>
      <c r="D100" s="167" t="s">
        <v>247</v>
      </c>
      <c r="E100" s="50" t="s">
        <v>34</v>
      </c>
      <c r="F100" s="131"/>
      <c r="G100" s="92"/>
      <c r="H100" s="92"/>
      <c r="I100" s="6">
        <v>2</v>
      </c>
      <c r="J100" s="5">
        <v>2</v>
      </c>
      <c r="K100" s="88">
        <v>42156</v>
      </c>
      <c r="L100" s="250"/>
      <c r="M100" s="253"/>
      <c r="U100" s="218">
        <v>56</v>
      </c>
      <c r="V100" s="19" t="s">
        <v>244</v>
      </c>
      <c r="W100" s="19"/>
      <c r="X100" s="241"/>
    </row>
    <row r="101" spans="1:24" ht="45" x14ac:dyDescent="0.25">
      <c r="A101" s="227" t="s">
        <v>136</v>
      </c>
      <c r="B101" s="167" t="s">
        <v>265</v>
      </c>
      <c r="C101" s="167" t="s">
        <v>152</v>
      </c>
      <c r="D101" s="167" t="s">
        <v>248</v>
      </c>
      <c r="E101" s="50" t="s">
        <v>34</v>
      </c>
      <c r="F101" s="131"/>
      <c r="G101" s="92"/>
      <c r="H101" s="92"/>
      <c r="I101" s="6">
        <v>2</v>
      </c>
      <c r="J101" s="5">
        <v>2</v>
      </c>
      <c r="K101" s="88">
        <v>42156</v>
      </c>
      <c r="L101" s="250"/>
      <c r="M101" s="253"/>
      <c r="U101" s="218">
        <v>56</v>
      </c>
      <c r="V101" s="19" t="s">
        <v>244</v>
      </c>
      <c r="W101" s="19"/>
      <c r="X101" s="241"/>
    </row>
    <row r="102" spans="1:24" ht="45" x14ac:dyDescent="0.25">
      <c r="A102" s="227" t="s">
        <v>136</v>
      </c>
      <c r="B102" s="167" t="s">
        <v>265</v>
      </c>
      <c r="C102" s="167" t="s">
        <v>152</v>
      </c>
      <c r="D102" s="167" t="s">
        <v>260</v>
      </c>
      <c r="E102" s="168" t="s">
        <v>35</v>
      </c>
      <c r="F102" s="93"/>
      <c r="G102" s="93"/>
      <c r="H102" s="93"/>
      <c r="I102" s="6">
        <v>2</v>
      </c>
      <c r="J102" s="5">
        <v>2</v>
      </c>
      <c r="K102" s="88">
        <v>42156</v>
      </c>
      <c r="L102" s="250"/>
      <c r="M102" s="253"/>
      <c r="U102" s="218">
        <v>57</v>
      </c>
      <c r="V102" s="19" t="s">
        <v>244</v>
      </c>
      <c r="W102" s="19"/>
      <c r="X102" s="241"/>
    </row>
    <row r="103" spans="1:24" ht="30" x14ac:dyDescent="0.25">
      <c r="A103" s="227" t="s">
        <v>136</v>
      </c>
      <c r="B103" s="167" t="s">
        <v>265</v>
      </c>
      <c r="C103" s="167" t="s">
        <v>152</v>
      </c>
      <c r="D103" s="167" t="s">
        <v>249</v>
      </c>
      <c r="E103" s="169" t="s">
        <v>36</v>
      </c>
      <c r="F103" s="132"/>
      <c r="G103" s="91"/>
      <c r="H103" s="91"/>
      <c r="I103" s="6">
        <v>2</v>
      </c>
      <c r="J103" s="5">
        <v>2</v>
      </c>
      <c r="K103" s="88">
        <v>42156</v>
      </c>
      <c r="L103" s="250"/>
      <c r="M103" s="253"/>
      <c r="U103" s="218">
        <v>58</v>
      </c>
      <c r="V103" s="19" t="s">
        <v>244</v>
      </c>
      <c r="W103" s="19"/>
      <c r="X103" s="241"/>
    </row>
    <row r="104" spans="1:24" ht="30" x14ac:dyDescent="0.25">
      <c r="A104" s="227" t="s">
        <v>136</v>
      </c>
      <c r="B104" s="167" t="s">
        <v>265</v>
      </c>
      <c r="C104" s="167" t="s">
        <v>152</v>
      </c>
      <c r="D104" s="167" t="s">
        <v>261</v>
      </c>
      <c r="E104" s="50" t="s">
        <v>37</v>
      </c>
      <c r="F104" s="131"/>
      <c r="G104" s="92"/>
      <c r="H104" s="92"/>
      <c r="I104" s="5">
        <v>2</v>
      </c>
      <c r="J104" s="5">
        <v>2</v>
      </c>
      <c r="K104" s="88">
        <v>42156</v>
      </c>
      <c r="L104" s="250"/>
      <c r="M104" s="253"/>
      <c r="U104" s="218">
        <v>59</v>
      </c>
      <c r="V104" s="19" t="s">
        <v>244</v>
      </c>
      <c r="W104" s="19"/>
      <c r="X104" s="241"/>
    </row>
    <row r="105" spans="1:24" ht="45.75" thickBot="1" x14ac:dyDescent="0.3">
      <c r="A105" s="229" t="s">
        <v>136</v>
      </c>
      <c r="B105" s="170" t="s">
        <v>265</v>
      </c>
      <c r="C105" s="170" t="s">
        <v>152</v>
      </c>
      <c r="D105" s="170" t="s">
        <v>262</v>
      </c>
      <c r="E105" s="171" t="s">
        <v>38</v>
      </c>
      <c r="F105" s="133"/>
      <c r="G105" s="101"/>
      <c r="H105" s="101"/>
      <c r="I105" s="33">
        <v>2</v>
      </c>
      <c r="J105" s="33">
        <v>2</v>
      </c>
      <c r="K105" s="89">
        <v>42156</v>
      </c>
      <c r="L105" s="251"/>
      <c r="M105" s="254"/>
      <c r="U105" s="218">
        <v>60</v>
      </c>
      <c r="V105" s="19" t="s">
        <v>244</v>
      </c>
      <c r="W105" s="19"/>
      <c r="X105" s="241"/>
    </row>
    <row r="106" spans="1:24" ht="30.75" thickTop="1" x14ac:dyDescent="0.25">
      <c r="A106" s="231" t="s">
        <v>136</v>
      </c>
      <c r="B106" s="158" t="s">
        <v>268</v>
      </c>
      <c r="C106" s="158" t="s">
        <v>241</v>
      </c>
      <c r="D106" s="158" t="s">
        <v>250</v>
      </c>
      <c r="E106" s="159" t="s">
        <v>348</v>
      </c>
      <c r="F106" s="63"/>
      <c r="G106" s="63"/>
      <c r="H106" s="63"/>
      <c r="I106" s="30" t="s">
        <v>210</v>
      </c>
      <c r="J106" s="30" t="s">
        <v>210</v>
      </c>
      <c r="K106" s="84">
        <v>42156</v>
      </c>
      <c r="L106" s="249" t="str">
        <f t="shared" ref="L106:M106" si="6">CONCATENATE("Level"," ",MIN(I106:I116))</f>
        <v>Level 0</v>
      </c>
      <c r="M106" s="252" t="str">
        <f t="shared" si="6"/>
        <v>Level 0</v>
      </c>
      <c r="U106" s="218">
        <v>1</v>
      </c>
      <c r="V106" s="19" t="s">
        <v>244</v>
      </c>
      <c r="W106" s="19"/>
      <c r="X106" s="241"/>
    </row>
    <row r="107" spans="1:24" ht="45" x14ac:dyDescent="0.25">
      <c r="A107" s="230" t="s">
        <v>136</v>
      </c>
      <c r="B107" s="190" t="s">
        <v>268</v>
      </c>
      <c r="C107" s="190" t="s">
        <v>241</v>
      </c>
      <c r="D107" s="190" t="s">
        <v>266</v>
      </c>
      <c r="E107" s="191" t="s">
        <v>348</v>
      </c>
      <c r="F107" s="192"/>
      <c r="G107" s="192"/>
      <c r="H107" s="192"/>
      <c r="I107" s="193" t="s">
        <v>210</v>
      </c>
      <c r="J107" s="193" t="s">
        <v>210</v>
      </c>
      <c r="K107" s="85">
        <v>42156</v>
      </c>
      <c r="L107" s="250"/>
      <c r="M107" s="253"/>
      <c r="U107" s="218">
        <v>2</v>
      </c>
      <c r="V107" s="19" t="s">
        <v>244</v>
      </c>
      <c r="W107" s="19"/>
      <c r="X107" s="241"/>
    </row>
    <row r="108" spans="1:24" ht="45" x14ac:dyDescent="0.25">
      <c r="A108" s="230" t="s">
        <v>136</v>
      </c>
      <c r="B108" s="190" t="s">
        <v>268</v>
      </c>
      <c r="C108" s="190" t="s">
        <v>241</v>
      </c>
      <c r="D108" s="190" t="s">
        <v>269</v>
      </c>
      <c r="E108" s="191" t="s">
        <v>348</v>
      </c>
      <c r="F108" s="192"/>
      <c r="G108" s="192"/>
      <c r="H108" s="192"/>
      <c r="I108" s="193" t="s">
        <v>210</v>
      </c>
      <c r="J108" s="193" t="s">
        <v>210</v>
      </c>
      <c r="K108" s="85">
        <v>42156</v>
      </c>
      <c r="L108" s="250"/>
      <c r="M108" s="253"/>
      <c r="U108" s="218">
        <v>7</v>
      </c>
      <c r="V108" s="19" t="s">
        <v>244</v>
      </c>
      <c r="W108" s="19"/>
      <c r="X108" s="241"/>
    </row>
    <row r="109" spans="1:24" ht="75" x14ac:dyDescent="0.25">
      <c r="A109" s="230" t="s">
        <v>136</v>
      </c>
      <c r="B109" s="190" t="s">
        <v>268</v>
      </c>
      <c r="C109" s="190" t="s">
        <v>241</v>
      </c>
      <c r="D109" s="190" t="s">
        <v>252</v>
      </c>
      <c r="E109" s="191" t="s">
        <v>348</v>
      </c>
      <c r="F109" s="192"/>
      <c r="G109" s="192"/>
      <c r="H109" s="192"/>
      <c r="I109" s="193" t="s">
        <v>210</v>
      </c>
      <c r="J109" s="193" t="s">
        <v>210</v>
      </c>
      <c r="K109" s="85">
        <v>42156</v>
      </c>
      <c r="L109" s="250"/>
      <c r="M109" s="253"/>
      <c r="U109" s="218">
        <v>3</v>
      </c>
      <c r="V109" s="19" t="s">
        <v>244</v>
      </c>
      <c r="W109" s="19"/>
      <c r="X109" s="241"/>
    </row>
    <row r="110" spans="1:24" ht="30" x14ac:dyDescent="0.25">
      <c r="A110" s="230" t="s">
        <v>136</v>
      </c>
      <c r="B110" s="190" t="s">
        <v>268</v>
      </c>
      <c r="C110" s="190" t="s">
        <v>241</v>
      </c>
      <c r="D110" s="190" t="s">
        <v>263</v>
      </c>
      <c r="E110" s="191" t="s">
        <v>0</v>
      </c>
      <c r="F110" s="192"/>
      <c r="G110" s="192"/>
      <c r="H110" s="192"/>
      <c r="I110" s="193" t="s">
        <v>210</v>
      </c>
      <c r="J110" s="193" t="s">
        <v>210</v>
      </c>
      <c r="K110" s="85">
        <v>42156</v>
      </c>
      <c r="L110" s="250"/>
      <c r="M110" s="253"/>
      <c r="U110" s="218">
        <v>55</v>
      </c>
      <c r="V110" s="19" t="s">
        <v>244</v>
      </c>
      <c r="W110" s="19"/>
      <c r="X110" s="241"/>
    </row>
    <row r="111" spans="1:24" ht="45" x14ac:dyDescent="0.25">
      <c r="A111" s="224" t="s">
        <v>136</v>
      </c>
      <c r="B111" s="160" t="s">
        <v>268</v>
      </c>
      <c r="C111" s="160" t="s">
        <v>241</v>
      </c>
      <c r="D111" s="160" t="s">
        <v>247</v>
      </c>
      <c r="E111" s="47" t="s">
        <v>34</v>
      </c>
      <c r="F111" s="126"/>
      <c r="G111" s="97"/>
      <c r="H111" s="97"/>
      <c r="I111" s="25" t="s">
        <v>210</v>
      </c>
      <c r="J111" s="26" t="s">
        <v>210</v>
      </c>
      <c r="K111" s="85">
        <v>42156</v>
      </c>
      <c r="L111" s="250"/>
      <c r="M111" s="253"/>
      <c r="U111" s="218">
        <v>56</v>
      </c>
      <c r="V111" s="19" t="s">
        <v>244</v>
      </c>
      <c r="W111" s="19"/>
      <c r="X111" s="241"/>
    </row>
    <row r="112" spans="1:24" ht="45" x14ac:dyDescent="0.25">
      <c r="A112" s="224" t="s">
        <v>136</v>
      </c>
      <c r="B112" s="160" t="s">
        <v>268</v>
      </c>
      <c r="C112" s="160" t="s">
        <v>241</v>
      </c>
      <c r="D112" s="160" t="s">
        <v>248</v>
      </c>
      <c r="E112" s="47" t="s">
        <v>34</v>
      </c>
      <c r="F112" s="126"/>
      <c r="G112" s="97"/>
      <c r="H112" s="97"/>
      <c r="I112" s="25" t="s">
        <v>210</v>
      </c>
      <c r="J112" s="26" t="s">
        <v>210</v>
      </c>
      <c r="K112" s="85">
        <v>42156</v>
      </c>
      <c r="L112" s="250"/>
      <c r="M112" s="253"/>
      <c r="U112" s="218">
        <v>56</v>
      </c>
      <c r="V112" s="19" t="s">
        <v>244</v>
      </c>
      <c r="W112" s="19"/>
      <c r="X112" s="241"/>
    </row>
    <row r="113" spans="1:24" ht="45" x14ac:dyDescent="0.25">
      <c r="A113" s="224" t="s">
        <v>136</v>
      </c>
      <c r="B113" s="160" t="s">
        <v>268</v>
      </c>
      <c r="C113" s="160" t="s">
        <v>241</v>
      </c>
      <c r="D113" s="160" t="s">
        <v>260</v>
      </c>
      <c r="E113" s="161" t="s">
        <v>35</v>
      </c>
      <c r="F113" s="96"/>
      <c r="G113" s="96"/>
      <c r="H113" s="96"/>
      <c r="I113" s="25" t="s">
        <v>210</v>
      </c>
      <c r="J113" s="26" t="s">
        <v>210</v>
      </c>
      <c r="K113" s="85">
        <v>42156</v>
      </c>
      <c r="L113" s="250"/>
      <c r="M113" s="253"/>
      <c r="U113" s="218">
        <v>57</v>
      </c>
      <c r="V113" s="19" t="s">
        <v>244</v>
      </c>
      <c r="W113" s="19"/>
      <c r="X113" s="241"/>
    </row>
    <row r="114" spans="1:24" ht="30" x14ac:dyDescent="0.25">
      <c r="A114" s="224" t="s">
        <v>136</v>
      </c>
      <c r="B114" s="160" t="s">
        <v>268</v>
      </c>
      <c r="C114" s="160" t="s">
        <v>241</v>
      </c>
      <c r="D114" s="160" t="s">
        <v>249</v>
      </c>
      <c r="E114" s="162" t="s">
        <v>36</v>
      </c>
      <c r="F114" s="127"/>
      <c r="G114" s="98"/>
      <c r="H114" s="98"/>
      <c r="I114" s="25" t="s">
        <v>210</v>
      </c>
      <c r="J114" s="26" t="s">
        <v>210</v>
      </c>
      <c r="K114" s="85">
        <v>42156</v>
      </c>
      <c r="L114" s="250"/>
      <c r="M114" s="253"/>
      <c r="U114" s="218">
        <v>58</v>
      </c>
      <c r="V114" s="19" t="s">
        <v>244</v>
      </c>
      <c r="W114" s="19"/>
      <c r="X114" s="241"/>
    </row>
    <row r="115" spans="1:24" ht="30" x14ac:dyDescent="0.25">
      <c r="A115" s="224" t="s">
        <v>136</v>
      </c>
      <c r="B115" s="160" t="s">
        <v>268</v>
      </c>
      <c r="C115" s="160" t="s">
        <v>241</v>
      </c>
      <c r="D115" s="160" t="s">
        <v>261</v>
      </c>
      <c r="E115" s="47" t="s">
        <v>37</v>
      </c>
      <c r="F115" s="126"/>
      <c r="G115" s="97"/>
      <c r="H115" s="97"/>
      <c r="I115" s="26" t="s">
        <v>210</v>
      </c>
      <c r="J115" s="26" t="s">
        <v>210</v>
      </c>
      <c r="K115" s="85">
        <v>42156</v>
      </c>
      <c r="L115" s="250"/>
      <c r="M115" s="253"/>
      <c r="U115" s="218">
        <v>59</v>
      </c>
      <c r="V115" s="19" t="s">
        <v>244</v>
      </c>
      <c r="W115" s="19"/>
      <c r="X115" s="241"/>
    </row>
    <row r="116" spans="1:24" ht="45.75" thickBot="1" x14ac:dyDescent="0.3">
      <c r="A116" s="225" t="s">
        <v>136</v>
      </c>
      <c r="B116" s="163" t="s">
        <v>268</v>
      </c>
      <c r="C116" s="163" t="s">
        <v>241</v>
      </c>
      <c r="D116" s="163" t="s">
        <v>262</v>
      </c>
      <c r="E116" s="164" t="s">
        <v>38</v>
      </c>
      <c r="F116" s="128"/>
      <c r="G116" s="129"/>
      <c r="H116" s="129"/>
      <c r="I116" s="31" t="s">
        <v>210</v>
      </c>
      <c r="J116" s="31" t="s">
        <v>210</v>
      </c>
      <c r="K116" s="86">
        <v>42156</v>
      </c>
      <c r="L116" s="251"/>
      <c r="M116" s="254"/>
      <c r="U116" s="218">
        <v>60</v>
      </c>
      <c r="V116" s="19" t="s">
        <v>244</v>
      </c>
      <c r="W116" s="19"/>
      <c r="X116" s="241"/>
    </row>
    <row r="117" spans="1:24" ht="30.75" thickTop="1" x14ac:dyDescent="0.25">
      <c r="A117" s="226" t="s">
        <v>136</v>
      </c>
      <c r="B117" s="165" t="s">
        <v>268</v>
      </c>
      <c r="C117" s="165" t="s">
        <v>242</v>
      </c>
      <c r="D117" s="165" t="s">
        <v>250</v>
      </c>
      <c r="E117" s="166" t="s">
        <v>348</v>
      </c>
      <c r="F117" s="130"/>
      <c r="G117" s="130"/>
      <c r="H117" s="130"/>
      <c r="I117" s="32">
        <v>2</v>
      </c>
      <c r="J117" s="32">
        <v>3</v>
      </c>
      <c r="K117" s="87">
        <v>42156</v>
      </c>
      <c r="L117" s="249" t="str">
        <f t="shared" ref="L117:M117" si="7">CONCATENATE("Level"," ",MIN(I117:I127))</f>
        <v>Level 1</v>
      </c>
      <c r="M117" s="252" t="str">
        <f t="shared" si="7"/>
        <v>Level 3</v>
      </c>
      <c r="U117" s="218">
        <v>1</v>
      </c>
      <c r="V117" s="19" t="s">
        <v>244</v>
      </c>
      <c r="W117" s="19"/>
      <c r="X117" s="241"/>
    </row>
    <row r="118" spans="1:24" ht="45" x14ac:dyDescent="0.25">
      <c r="A118" s="228" t="s">
        <v>136</v>
      </c>
      <c r="B118" s="199" t="s">
        <v>268</v>
      </c>
      <c r="C118" s="199" t="s">
        <v>242</v>
      </c>
      <c r="D118" s="199" t="s">
        <v>266</v>
      </c>
      <c r="E118" s="200" t="s">
        <v>348</v>
      </c>
      <c r="F118" s="201"/>
      <c r="G118" s="201"/>
      <c r="H118" s="201"/>
      <c r="I118" s="202">
        <v>1</v>
      </c>
      <c r="J118" s="202">
        <v>4</v>
      </c>
      <c r="K118" s="88">
        <v>42156</v>
      </c>
      <c r="L118" s="250"/>
      <c r="M118" s="253"/>
      <c r="U118" s="218">
        <v>2</v>
      </c>
      <c r="V118" s="19" t="s">
        <v>244</v>
      </c>
      <c r="W118" s="19"/>
      <c r="X118" s="241"/>
    </row>
    <row r="119" spans="1:24" ht="45" x14ac:dyDescent="0.25">
      <c r="A119" s="228" t="s">
        <v>136</v>
      </c>
      <c r="B119" s="199" t="s">
        <v>268</v>
      </c>
      <c r="C119" s="199" t="s">
        <v>242</v>
      </c>
      <c r="D119" s="199" t="s">
        <v>269</v>
      </c>
      <c r="E119" s="200" t="s">
        <v>348</v>
      </c>
      <c r="F119" s="201"/>
      <c r="G119" s="201"/>
      <c r="H119" s="201"/>
      <c r="I119" s="202">
        <v>1</v>
      </c>
      <c r="J119" s="202">
        <v>3</v>
      </c>
      <c r="K119" s="88">
        <v>42156</v>
      </c>
      <c r="L119" s="250"/>
      <c r="M119" s="253"/>
      <c r="U119" s="218">
        <v>7</v>
      </c>
      <c r="V119" s="19" t="s">
        <v>244</v>
      </c>
      <c r="W119" s="19"/>
      <c r="X119" s="241"/>
    </row>
    <row r="120" spans="1:24" ht="75" x14ac:dyDescent="0.25">
      <c r="A120" s="228" t="s">
        <v>136</v>
      </c>
      <c r="B120" s="199" t="s">
        <v>268</v>
      </c>
      <c r="C120" s="199" t="s">
        <v>242</v>
      </c>
      <c r="D120" s="199" t="s">
        <v>252</v>
      </c>
      <c r="E120" s="200" t="s">
        <v>348</v>
      </c>
      <c r="F120" s="201"/>
      <c r="G120" s="201"/>
      <c r="H120" s="201"/>
      <c r="I120" s="202">
        <v>1</v>
      </c>
      <c r="J120" s="202">
        <v>3</v>
      </c>
      <c r="K120" s="88">
        <v>42156</v>
      </c>
      <c r="L120" s="250"/>
      <c r="M120" s="253"/>
      <c r="U120" s="218">
        <v>3</v>
      </c>
      <c r="V120" s="19" t="s">
        <v>244</v>
      </c>
      <c r="W120" s="19"/>
      <c r="X120" s="241"/>
    </row>
    <row r="121" spans="1:24" ht="30" x14ac:dyDescent="0.25">
      <c r="A121" s="228" t="s">
        <v>136</v>
      </c>
      <c r="B121" s="199" t="s">
        <v>268</v>
      </c>
      <c r="C121" s="199" t="s">
        <v>242</v>
      </c>
      <c r="D121" s="199" t="s">
        <v>263</v>
      </c>
      <c r="E121" s="200" t="s">
        <v>0</v>
      </c>
      <c r="F121" s="201"/>
      <c r="G121" s="201"/>
      <c r="H121" s="201"/>
      <c r="I121" s="202">
        <v>2</v>
      </c>
      <c r="J121" s="202">
        <v>3</v>
      </c>
      <c r="K121" s="88">
        <v>42156</v>
      </c>
      <c r="L121" s="250"/>
      <c r="M121" s="253"/>
      <c r="U121" s="218">
        <v>55</v>
      </c>
      <c r="V121" s="19" t="s">
        <v>244</v>
      </c>
      <c r="W121" s="19"/>
      <c r="X121" s="241"/>
    </row>
    <row r="122" spans="1:24" ht="45" x14ac:dyDescent="0.25">
      <c r="A122" s="227" t="s">
        <v>136</v>
      </c>
      <c r="B122" s="167" t="s">
        <v>268</v>
      </c>
      <c r="C122" s="167" t="s">
        <v>242</v>
      </c>
      <c r="D122" s="167" t="s">
        <v>247</v>
      </c>
      <c r="E122" s="50" t="s">
        <v>34</v>
      </c>
      <c r="F122" s="131"/>
      <c r="G122" s="92"/>
      <c r="H122" s="92"/>
      <c r="I122" s="6">
        <v>1</v>
      </c>
      <c r="J122" s="5">
        <v>4</v>
      </c>
      <c r="K122" s="88">
        <v>42156</v>
      </c>
      <c r="L122" s="250"/>
      <c r="M122" s="253"/>
      <c r="U122" s="218">
        <v>56</v>
      </c>
      <c r="V122" s="19" t="s">
        <v>244</v>
      </c>
      <c r="W122" s="19"/>
      <c r="X122" s="241"/>
    </row>
    <row r="123" spans="1:24" ht="45" x14ac:dyDescent="0.25">
      <c r="A123" s="227" t="s">
        <v>136</v>
      </c>
      <c r="B123" s="167" t="s">
        <v>268</v>
      </c>
      <c r="C123" s="167" t="s">
        <v>242</v>
      </c>
      <c r="D123" s="167" t="s">
        <v>248</v>
      </c>
      <c r="E123" s="50" t="s">
        <v>34</v>
      </c>
      <c r="F123" s="131"/>
      <c r="G123" s="92"/>
      <c r="H123" s="92"/>
      <c r="I123" s="6">
        <v>1</v>
      </c>
      <c r="J123" s="5">
        <v>3</v>
      </c>
      <c r="K123" s="88">
        <v>42156</v>
      </c>
      <c r="L123" s="250"/>
      <c r="M123" s="253"/>
      <c r="U123" s="218">
        <v>56</v>
      </c>
      <c r="V123" s="19" t="s">
        <v>244</v>
      </c>
      <c r="W123" s="19"/>
      <c r="X123" s="241"/>
    </row>
    <row r="124" spans="1:24" ht="45" x14ac:dyDescent="0.25">
      <c r="A124" s="227" t="s">
        <v>136</v>
      </c>
      <c r="B124" s="167" t="s">
        <v>268</v>
      </c>
      <c r="C124" s="167" t="s">
        <v>242</v>
      </c>
      <c r="D124" s="167" t="s">
        <v>260</v>
      </c>
      <c r="E124" s="168" t="s">
        <v>35</v>
      </c>
      <c r="F124" s="93"/>
      <c r="G124" s="93"/>
      <c r="H124" s="93"/>
      <c r="I124" s="6">
        <v>2</v>
      </c>
      <c r="J124" s="5">
        <v>3</v>
      </c>
      <c r="K124" s="88">
        <v>42156</v>
      </c>
      <c r="L124" s="250"/>
      <c r="M124" s="253"/>
      <c r="U124" s="218">
        <v>57</v>
      </c>
      <c r="V124" s="19" t="s">
        <v>244</v>
      </c>
      <c r="W124" s="19"/>
      <c r="X124" s="241"/>
    </row>
    <row r="125" spans="1:24" ht="30" x14ac:dyDescent="0.25">
      <c r="A125" s="227" t="s">
        <v>136</v>
      </c>
      <c r="B125" s="167" t="s">
        <v>268</v>
      </c>
      <c r="C125" s="167" t="s">
        <v>242</v>
      </c>
      <c r="D125" s="167" t="s">
        <v>249</v>
      </c>
      <c r="E125" s="169" t="s">
        <v>36</v>
      </c>
      <c r="F125" s="132"/>
      <c r="G125" s="91"/>
      <c r="H125" s="91"/>
      <c r="I125" s="6">
        <v>2</v>
      </c>
      <c r="J125" s="5">
        <v>3</v>
      </c>
      <c r="K125" s="88">
        <v>42156</v>
      </c>
      <c r="L125" s="250"/>
      <c r="M125" s="253"/>
      <c r="U125" s="218">
        <v>58</v>
      </c>
      <c r="V125" s="19" t="s">
        <v>244</v>
      </c>
      <c r="W125" s="19"/>
      <c r="X125" s="241"/>
    </row>
    <row r="126" spans="1:24" ht="30" x14ac:dyDescent="0.25">
      <c r="A126" s="227" t="s">
        <v>136</v>
      </c>
      <c r="B126" s="167" t="s">
        <v>268</v>
      </c>
      <c r="C126" s="167" t="s">
        <v>242</v>
      </c>
      <c r="D126" s="167" t="s">
        <v>261</v>
      </c>
      <c r="E126" s="50" t="s">
        <v>37</v>
      </c>
      <c r="F126" s="131"/>
      <c r="G126" s="92"/>
      <c r="H126" s="92"/>
      <c r="I126" s="5">
        <v>2</v>
      </c>
      <c r="J126" s="5">
        <v>3</v>
      </c>
      <c r="K126" s="88">
        <v>42156</v>
      </c>
      <c r="L126" s="250"/>
      <c r="M126" s="253"/>
      <c r="U126" s="218">
        <v>59</v>
      </c>
      <c r="V126" s="19" t="s">
        <v>244</v>
      </c>
      <c r="W126" s="19"/>
      <c r="X126" s="241"/>
    </row>
    <row r="127" spans="1:24" ht="45.75" thickBot="1" x14ac:dyDescent="0.3">
      <c r="A127" s="229" t="s">
        <v>136</v>
      </c>
      <c r="B127" s="170" t="s">
        <v>268</v>
      </c>
      <c r="C127" s="170" t="s">
        <v>242</v>
      </c>
      <c r="D127" s="170" t="s">
        <v>262</v>
      </c>
      <c r="E127" s="171" t="s">
        <v>38</v>
      </c>
      <c r="F127" s="133"/>
      <c r="G127" s="101"/>
      <c r="H127" s="101"/>
      <c r="I127" s="33">
        <v>2</v>
      </c>
      <c r="J127" s="33">
        <v>3</v>
      </c>
      <c r="K127" s="89">
        <v>42156</v>
      </c>
      <c r="L127" s="251"/>
      <c r="M127" s="254"/>
      <c r="U127" s="218">
        <v>60</v>
      </c>
      <c r="V127" s="19" t="s">
        <v>244</v>
      </c>
      <c r="W127" s="19"/>
      <c r="X127" s="241"/>
    </row>
    <row r="128" spans="1:24" ht="30.75" thickTop="1" x14ac:dyDescent="0.25">
      <c r="A128" s="231" t="s">
        <v>136</v>
      </c>
      <c r="B128" s="158" t="s">
        <v>268</v>
      </c>
      <c r="C128" s="158" t="s">
        <v>153</v>
      </c>
      <c r="D128" s="158" t="s">
        <v>250</v>
      </c>
      <c r="E128" s="159" t="s">
        <v>348</v>
      </c>
      <c r="F128" s="63"/>
      <c r="G128" s="63"/>
      <c r="H128" s="63"/>
      <c r="I128" s="30">
        <v>1</v>
      </c>
      <c r="J128" s="30">
        <v>3</v>
      </c>
      <c r="K128" s="84">
        <v>42156</v>
      </c>
      <c r="L128" s="249" t="str">
        <f t="shared" ref="L128:M128" si="8">CONCATENATE("Level"," ",MIN(I128:I138))</f>
        <v>Level 1</v>
      </c>
      <c r="M128" s="252" t="str">
        <f t="shared" si="8"/>
        <v>Level 2</v>
      </c>
      <c r="U128" s="218">
        <v>1</v>
      </c>
      <c r="V128" s="19" t="s">
        <v>244</v>
      </c>
      <c r="W128" s="19"/>
      <c r="X128" s="241"/>
    </row>
    <row r="129" spans="1:24" ht="45" x14ac:dyDescent="0.25">
      <c r="A129" s="230" t="s">
        <v>136</v>
      </c>
      <c r="B129" s="190" t="s">
        <v>268</v>
      </c>
      <c r="C129" s="190" t="s">
        <v>153</v>
      </c>
      <c r="D129" s="190" t="s">
        <v>266</v>
      </c>
      <c r="E129" s="191" t="s">
        <v>348</v>
      </c>
      <c r="F129" s="192"/>
      <c r="G129" s="192"/>
      <c r="H129" s="192"/>
      <c r="I129" s="193">
        <v>1</v>
      </c>
      <c r="J129" s="193">
        <v>3</v>
      </c>
      <c r="K129" s="85">
        <v>42156</v>
      </c>
      <c r="L129" s="250"/>
      <c r="M129" s="253"/>
      <c r="U129" s="218">
        <v>2</v>
      </c>
      <c r="V129" s="19" t="s">
        <v>244</v>
      </c>
      <c r="W129" s="19"/>
      <c r="X129" s="241"/>
    </row>
    <row r="130" spans="1:24" ht="45" x14ac:dyDescent="0.25">
      <c r="A130" s="230" t="s">
        <v>136</v>
      </c>
      <c r="B130" s="190" t="s">
        <v>268</v>
      </c>
      <c r="C130" s="190" t="s">
        <v>153</v>
      </c>
      <c r="D130" s="190" t="s">
        <v>269</v>
      </c>
      <c r="E130" s="191" t="s">
        <v>348</v>
      </c>
      <c r="F130" s="192"/>
      <c r="G130" s="192"/>
      <c r="H130" s="192"/>
      <c r="I130" s="193">
        <v>2</v>
      </c>
      <c r="J130" s="193">
        <v>3</v>
      </c>
      <c r="K130" s="85">
        <v>42156</v>
      </c>
      <c r="L130" s="250"/>
      <c r="M130" s="253"/>
      <c r="U130" s="218">
        <v>7</v>
      </c>
      <c r="V130" s="19" t="s">
        <v>244</v>
      </c>
      <c r="W130" s="19"/>
      <c r="X130" s="241"/>
    </row>
    <row r="131" spans="1:24" ht="75" x14ac:dyDescent="0.25">
      <c r="A131" s="230" t="s">
        <v>136</v>
      </c>
      <c r="B131" s="190" t="s">
        <v>268</v>
      </c>
      <c r="C131" s="190" t="s">
        <v>153</v>
      </c>
      <c r="D131" s="190" t="s">
        <v>252</v>
      </c>
      <c r="E131" s="191" t="s">
        <v>348</v>
      </c>
      <c r="F131" s="192"/>
      <c r="G131" s="192"/>
      <c r="H131" s="192"/>
      <c r="I131" s="193">
        <v>2</v>
      </c>
      <c r="J131" s="193">
        <v>2</v>
      </c>
      <c r="K131" s="85">
        <v>42156</v>
      </c>
      <c r="L131" s="250"/>
      <c r="M131" s="253"/>
      <c r="U131" s="218">
        <v>3</v>
      </c>
      <c r="V131" s="19" t="s">
        <v>244</v>
      </c>
      <c r="W131" s="19"/>
      <c r="X131" s="241"/>
    </row>
    <row r="132" spans="1:24" ht="30" x14ac:dyDescent="0.25">
      <c r="A132" s="230" t="s">
        <v>136</v>
      </c>
      <c r="B132" s="190" t="s">
        <v>268</v>
      </c>
      <c r="C132" s="190" t="s">
        <v>153</v>
      </c>
      <c r="D132" s="190" t="s">
        <v>263</v>
      </c>
      <c r="E132" s="191" t="s">
        <v>0</v>
      </c>
      <c r="F132" s="192"/>
      <c r="G132" s="192"/>
      <c r="H132" s="192"/>
      <c r="I132" s="193">
        <v>1</v>
      </c>
      <c r="J132" s="193">
        <v>3</v>
      </c>
      <c r="K132" s="85">
        <v>42156</v>
      </c>
      <c r="L132" s="250"/>
      <c r="M132" s="253"/>
      <c r="U132" s="218">
        <v>55</v>
      </c>
      <c r="V132" s="19" t="s">
        <v>244</v>
      </c>
      <c r="W132" s="19"/>
      <c r="X132" s="241"/>
    </row>
    <row r="133" spans="1:24" ht="45" x14ac:dyDescent="0.25">
      <c r="A133" s="224" t="s">
        <v>136</v>
      </c>
      <c r="B133" s="160" t="s">
        <v>268</v>
      </c>
      <c r="C133" s="160" t="s">
        <v>153</v>
      </c>
      <c r="D133" s="160" t="s">
        <v>247</v>
      </c>
      <c r="E133" s="47" t="s">
        <v>34</v>
      </c>
      <c r="F133" s="126"/>
      <c r="G133" s="97"/>
      <c r="H133" s="97"/>
      <c r="I133" s="25">
        <v>2</v>
      </c>
      <c r="J133" s="26">
        <v>2</v>
      </c>
      <c r="K133" s="85">
        <v>42156</v>
      </c>
      <c r="L133" s="250"/>
      <c r="M133" s="253"/>
      <c r="U133" s="218">
        <v>56</v>
      </c>
      <c r="V133" s="19" t="s">
        <v>244</v>
      </c>
      <c r="W133" s="19"/>
      <c r="X133" s="241"/>
    </row>
    <row r="134" spans="1:24" ht="45" x14ac:dyDescent="0.25">
      <c r="A134" s="224" t="s">
        <v>136</v>
      </c>
      <c r="B134" s="160" t="s">
        <v>268</v>
      </c>
      <c r="C134" s="160" t="s">
        <v>153</v>
      </c>
      <c r="D134" s="160" t="s">
        <v>248</v>
      </c>
      <c r="E134" s="47" t="s">
        <v>34</v>
      </c>
      <c r="F134" s="126"/>
      <c r="G134" s="97"/>
      <c r="H134" s="97"/>
      <c r="I134" s="25">
        <v>2</v>
      </c>
      <c r="J134" s="26">
        <v>3</v>
      </c>
      <c r="K134" s="85">
        <v>42156</v>
      </c>
      <c r="L134" s="250"/>
      <c r="M134" s="253"/>
      <c r="U134" s="218">
        <v>56</v>
      </c>
      <c r="V134" s="19" t="s">
        <v>244</v>
      </c>
      <c r="W134" s="19"/>
      <c r="X134" s="241"/>
    </row>
    <row r="135" spans="1:24" ht="45" x14ac:dyDescent="0.25">
      <c r="A135" s="224" t="s">
        <v>136</v>
      </c>
      <c r="B135" s="160" t="s">
        <v>268</v>
      </c>
      <c r="C135" s="160" t="s">
        <v>153</v>
      </c>
      <c r="D135" s="160" t="s">
        <v>260</v>
      </c>
      <c r="E135" s="161" t="s">
        <v>35</v>
      </c>
      <c r="F135" s="96"/>
      <c r="G135" s="96"/>
      <c r="H135" s="96"/>
      <c r="I135" s="25">
        <v>1</v>
      </c>
      <c r="J135" s="26">
        <v>3</v>
      </c>
      <c r="K135" s="85">
        <v>42156</v>
      </c>
      <c r="L135" s="250"/>
      <c r="M135" s="253"/>
      <c r="U135" s="218">
        <v>57</v>
      </c>
      <c r="V135" s="19" t="s">
        <v>244</v>
      </c>
      <c r="W135" s="19"/>
      <c r="X135" s="241"/>
    </row>
    <row r="136" spans="1:24" ht="30" x14ac:dyDescent="0.25">
      <c r="A136" s="224" t="s">
        <v>136</v>
      </c>
      <c r="B136" s="160" t="s">
        <v>268</v>
      </c>
      <c r="C136" s="160" t="s">
        <v>153</v>
      </c>
      <c r="D136" s="160" t="s">
        <v>249</v>
      </c>
      <c r="E136" s="162" t="s">
        <v>36</v>
      </c>
      <c r="F136" s="127"/>
      <c r="G136" s="98"/>
      <c r="H136" s="98"/>
      <c r="I136" s="25">
        <v>1</v>
      </c>
      <c r="J136" s="26">
        <v>3</v>
      </c>
      <c r="K136" s="85">
        <v>42156</v>
      </c>
      <c r="L136" s="250"/>
      <c r="M136" s="253"/>
      <c r="U136" s="218">
        <v>58</v>
      </c>
      <c r="V136" s="19" t="s">
        <v>244</v>
      </c>
      <c r="W136" s="19"/>
      <c r="X136" s="241"/>
    </row>
    <row r="137" spans="1:24" ht="30" x14ac:dyDescent="0.25">
      <c r="A137" s="224" t="s">
        <v>136</v>
      </c>
      <c r="B137" s="160" t="s">
        <v>268</v>
      </c>
      <c r="C137" s="160" t="s">
        <v>153</v>
      </c>
      <c r="D137" s="160" t="s">
        <v>261</v>
      </c>
      <c r="E137" s="47" t="s">
        <v>37</v>
      </c>
      <c r="F137" s="126"/>
      <c r="G137" s="97"/>
      <c r="H137" s="97"/>
      <c r="I137" s="26">
        <v>2</v>
      </c>
      <c r="J137" s="26">
        <v>3</v>
      </c>
      <c r="K137" s="85">
        <v>42156</v>
      </c>
      <c r="L137" s="250"/>
      <c r="M137" s="253"/>
      <c r="U137" s="218">
        <v>59</v>
      </c>
      <c r="V137" s="19" t="s">
        <v>244</v>
      </c>
      <c r="W137" s="19"/>
      <c r="X137" s="241"/>
    </row>
    <row r="138" spans="1:24" ht="45.75" thickBot="1" x14ac:dyDescent="0.3">
      <c r="A138" s="225" t="s">
        <v>136</v>
      </c>
      <c r="B138" s="163" t="s">
        <v>268</v>
      </c>
      <c r="C138" s="163" t="s">
        <v>153</v>
      </c>
      <c r="D138" s="163" t="s">
        <v>262</v>
      </c>
      <c r="E138" s="164" t="s">
        <v>38</v>
      </c>
      <c r="F138" s="128"/>
      <c r="G138" s="129"/>
      <c r="H138" s="129"/>
      <c r="I138" s="31">
        <v>2</v>
      </c>
      <c r="J138" s="31">
        <v>3</v>
      </c>
      <c r="K138" s="86">
        <v>42156</v>
      </c>
      <c r="L138" s="251"/>
      <c r="M138" s="254"/>
      <c r="U138" s="218">
        <v>60</v>
      </c>
      <c r="V138" s="19" t="s">
        <v>244</v>
      </c>
      <c r="W138" s="19"/>
      <c r="X138" s="241"/>
    </row>
    <row r="139" spans="1:24" ht="45.75" thickTop="1" x14ac:dyDescent="0.25">
      <c r="A139" s="226" t="s">
        <v>137</v>
      </c>
      <c r="B139" s="165" t="s">
        <v>270</v>
      </c>
      <c r="C139" s="165" t="s">
        <v>154</v>
      </c>
      <c r="D139" s="165" t="s">
        <v>250</v>
      </c>
      <c r="E139" s="166" t="s">
        <v>348</v>
      </c>
      <c r="F139" s="130"/>
      <c r="G139" s="130"/>
      <c r="H139" s="130"/>
      <c r="I139" s="32">
        <v>1</v>
      </c>
      <c r="J139" s="32">
        <v>1</v>
      </c>
      <c r="K139" s="87">
        <v>42156</v>
      </c>
      <c r="L139" s="249" t="str">
        <f t="shared" ref="L139:M139" si="9">CONCATENATE("Level"," ",MIN(I139:I149))</f>
        <v>Level 1</v>
      </c>
      <c r="M139" s="252" t="str">
        <f t="shared" si="9"/>
        <v>Level 1</v>
      </c>
      <c r="U139" s="218">
        <v>1</v>
      </c>
      <c r="V139" s="19" t="s">
        <v>244</v>
      </c>
      <c r="W139" s="19"/>
      <c r="X139" s="241"/>
    </row>
    <row r="140" spans="1:24" ht="45" x14ac:dyDescent="0.25">
      <c r="A140" s="228" t="s">
        <v>137</v>
      </c>
      <c r="B140" s="199" t="s">
        <v>270</v>
      </c>
      <c r="C140" s="199" t="s">
        <v>154</v>
      </c>
      <c r="D140" s="199" t="s">
        <v>271</v>
      </c>
      <c r="E140" s="200" t="s">
        <v>348</v>
      </c>
      <c r="F140" s="201"/>
      <c r="G140" s="201"/>
      <c r="H140" s="201"/>
      <c r="I140" s="202">
        <v>1</v>
      </c>
      <c r="J140" s="202">
        <v>2</v>
      </c>
      <c r="K140" s="88">
        <v>42156</v>
      </c>
      <c r="L140" s="250"/>
      <c r="M140" s="253"/>
      <c r="U140" s="218">
        <v>8</v>
      </c>
      <c r="V140" s="19" t="s">
        <v>244</v>
      </c>
      <c r="W140" s="19"/>
      <c r="X140" s="241"/>
    </row>
    <row r="141" spans="1:24" ht="45" x14ac:dyDescent="0.25">
      <c r="A141" s="228" t="s">
        <v>137</v>
      </c>
      <c r="B141" s="199" t="s">
        <v>270</v>
      </c>
      <c r="C141" s="199" t="s">
        <v>154</v>
      </c>
      <c r="D141" s="199" t="s">
        <v>266</v>
      </c>
      <c r="E141" s="200" t="s">
        <v>348</v>
      </c>
      <c r="F141" s="201"/>
      <c r="G141" s="201"/>
      <c r="H141" s="201"/>
      <c r="I141" s="202">
        <v>2</v>
      </c>
      <c r="J141" s="202">
        <v>2</v>
      </c>
      <c r="K141" s="88">
        <v>42156</v>
      </c>
      <c r="L141" s="250"/>
      <c r="M141" s="253"/>
      <c r="U141" s="218">
        <v>2</v>
      </c>
      <c r="V141" s="19" t="s">
        <v>244</v>
      </c>
      <c r="W141" s="19"/>
      <c r="X141" s="241"/>
    </row>
    <row r="142" spans="1:24" ht="75" x14ac:dyDescent="0.25">
      <c r="A142" s="228" t="s">
        <v>137</v>
      </c>
      <c r="B142" s="199" t="s">
        <v>270</v>
      </c>
      <c r="C142" s="199" t="s">
        <v>154</v>
      </c>
      <c r="D142" s="199" t="s">
        <v>252</v>
      </c>
      <c r="E142" s="200" t="s">
        <v>348</v>
      </c>
      <c r="F142" s="201"/>
      <c r="G142" s="201"/>
      <c r="H142" s="201"/>
      <c r="I142" s="202">
        <v>2</v>
      </c>
      <c r="J142" s="202">
        <v>2</v>
      </c>
      <c r="K142" s="88">
        <v>42156</v>
      </c>
      <c r="L142" s="250"/>
      <c r="M142" s="253"/>
      <c r="U142" s="218">
        <v>3</v>
      </c>
      <c r="V142" s="19" t="s">
        <v>244</v>
      </c>
      <c r="W142" s="19"/>
      <c r="X142" s="241"/>
    </row>
    <row r="143" spans="1:24" ht="45" x14ac:dyDescent="0.25">
      <c r="A143" s="228" t="s">
        <v>137</v>
      </c>
      <c r="B143" s="199" t="s">
        <v>270</v>
      </c>
      <c r="C143" s="199" t="s">
        <v>154</v>
      </c>
      <c r="D143" s="199" t="s">
        <v>263</v>
      </c>
      <c r="E143" s="200" t="s">
        <v>0</v>
      </c>
      <c r="F143" s="201"/>
      <c r="G143" s="201"/>
      <c r="H143" s="201"/>
      <c r="I143" s="202">
        <v>1</v>
      </c>
      <c r="J143" s="202">
        <v>1</v>
      </c>
      <c r="K143" s="88">
        <v>42156</v>
      </c>
      <c r="L143" s="250"/>
      <c r="M143" s="253"/>
      <c r="U143" s="218">
        <v>55</v>
      </c>
      <c r="V143" s="19" t="s">
        <v>244</v>
      </c>
      <c r="W143" s="19"/>
      <c r="X143" s="241"/>
    </row>
    <row r="144" spans="1:24" ht="45" x14ac:dyDescent="0.25">
      <c r="A144" s="227" t="s">
        <v>137</v>
      </c>
      <c r="B144" s="167" t="s">
        <v>270</v>
      </c>
      <c r="C144" s="167" t="s">
        <v>154</v>
      </c>
      <c r="D144" s="167" t="s">
        <v>247</v>
      </c>
      <c r="E144" s="50" t="s">
        <v>34</v>
      </c>
      <c r="F144" s="131"/>
      <c r="G144" s="92"/>
      <c r="H144" s="92"/>
      <c r="I144" s="6">
        <v>2</v>
      </c>
      <c r="J144" s="5">
        <v>2</v>
      </c>
      <c r="K144" s="88">
        <v>42156</v>
      </c>
      <c r="L144" s="250"/>
      <c r="M144" s="253"/>
      <c r="U144" s="218">
        <v>56</v>
      </c>
      <c r="V144" s="19" t="s">
        <v>244</v>
      </c>
      <c r="W144" s="19"/>
      <c r="X144" s="241"/>
    </row>
    <row r="145" spans="1:24" ht="45" x14ac:dyDescent="0.25">
      <c r="A145" s="227" t="s">
        <v>137</v>
      </c>
      <c r="B145" s="167" t="s">
        <v>270</v>
      </c>
      <c r="C145" s="167" t="s">
        <v>154</v>
      </c>
      <c r="D145" s="167" t="s">
        <v>248</v>
      </c>
      <c r="E145" s="50" t="s">
        <v>34</v>
      </c>
      <c r="F145" s="131"/>
      <c r="G145" s="92"/>
      <c r="H145" s="92"/>
      <c r="I145" s="6">
        <v>2</v>
      </c>
      <c r="J145" s="5">
        <v>2</v>
      </c>
      <c r="K145" s="88">
        <v>42156</v>
      </c>
      <c r="L145" s="250"/>
      <c r="M145" s="253"/>
      <c r="U145" s="218">
        <v>56</v>
      </c>
      <c r="V145" s="19" t="s">
        <v>244</v>
      </c>
      <c r="W145" s="19"/>
      <c r="X145" s="241"/>
    </row>
    <row r="146" spans="1:24" ht="45" x14ac:dyDescent="0.25">
      <c r="A146" s="227" t="s">
        <v>137</v>
      </c>
      <c r="B146" s="167" t="s">
        <v>270</v>
      </c>
      <c r="C146" s="167" t="s">
        <v>154</v>
      </c>
      <c r="D146" s="167" t="s">
        <v>260</v>
      </c>
      <c r="E146" s="168" t="s">
        <v>35</v>
      </c>
      <c r="F146" s="93"/>
      <c r="G146" s="93"/>
      <c r="H146" s="93"/>
      <c r="I146" s="6">
        <v>1</v>
      </c>
      <c r="J146" s="5">
        <v>1</v>
      </c>
      <c r="K146" s="88">
        <v>42156</v>
      </c>
      <c r="L146" s="250"/>
      <c r="M146" s="253"/>
      <c r="U146" s="218">
        <v>57</v>
      </c>
      <c r="V146" s="19" t="s">
        <v>244</v>
      </c>
      <c r="W146" s="19"/>
      <c r="X146" s="241"/>
    </row>
    <row r="147" spans="1:24" ht="45" x14ac:dyDescent="0.25">
      <c r="A147" s="227" t="s">
        <v>137</v>
      </c>
      <c r="B147" s="167" t="s">
        <v>270</v>
      </c>
      <c r="C147" s="167" t="s">
        <v>154</v>
      </c>
      <c r="D147" s="167" t="s">
        <v>249</v>
      </c>
      <c r="E147" s="169" t="s">
        <v>36</v>
      </c>
      <c r="F147" s="132"/>
      <c r="G147" s="91"/>
      <c r="H147" s="91"/>
      <c r="I147" s="6">
        <v>1</v>
      </c>
      <c r="J147" s="5">
        <v>2</v>
      </c>
      <c r="K147" s="88">
        <v>42156</v>
      </c>
      <c r="L147" s="250"/>
      <c r="M147" s="253"/>
      <c r="U147" s="218">
        <v>58</v>
      </c>
      <c r="V147" s="19" t="s">
        <v>244</v>
      </c>
      <c r="W147" s="19"/>
      <c r="X147" s="241"/>
    </row>
    <row r="148" spans="1:24" ht="45" x14ac:dyDescent="0.25">
      <c r="A148" s="227" t="s">
        <v>137</v>
      </c>
      <c r="B148" s="167" t="s">
        <v>270</v>
      </c>
      <c r="C148" s="167" t="s">
        <v>154</v>
      </c>
      <c r="D148" s="167" t="s">
        <v>261</v>
      </c>
      <c r="E148" s="50" t="s">
        <v>37</v>
      </c>
      <c r="F148" s="131"/>
      <c r="G148" s="92"/>
      <c r="H148" s="92"/>
      <c r="I148" s="5">
        <v>2</v>
      </c>
      <c r="J148" s="5">
        <v>2</v>
      </c>
      <c r="K148" s="88">
        <v>42156</v>
      </c>
      <c r="L148" s="250"/>
      <c r="M148" s="253"/>
      <c r="U148" s="218">
        <v>59</v>
      </c>
      <c r="V148" s="19" t="s">
        <v>244</v>
      </c>
      <c r="W148" s="19"/>
      <c r="X148" s="241"/>
    </row>
    <row r="149" spans="1:24" ht="45.75" thickBot="1" x14ac:dyDescent="0.3">
      <c r="A149" s="229" t="s">
        <v>137</v>
      </c>
      <c r="B149" s="170" t="s">
        <v>270</v>
      </c>
      <c r="C149" s="170" t="s">
        <v>154</v>
      </c>
      <c r="D149" s="170" t="s">
        <v>262</v>
      </c>
      <c r="E149" s="171" t="s">
        <v>38</v>
      </c>
      <c r="F149" s="133"/>
      <c r="G149" s="101"/>
      <c r="H149" s="101"/>
      <c r="I149" s="33">
        <v>2</v>
      </c>
      <c r="J149" s="33">
        <v>2</v>
      </c>
      <c r="K149" s="89">
        <v>42156</v>
      </c>
      <c r="L149" s="251"/>
      <c r="M149" s="254"/>
      <c r="U149" s="218">
        <v>60</v>
      </c>
      <c r="V149" s="19" t="s">
        <v>244</v>
      </c>
      <c r="W149" s="19"/>
      <c r="X149" s="241"/>
    </row>
    <row r="150" spans="1:24" ht="30.75" thickTop="1" x14ac:dyDescent="0.25">
      <c r="A150" s="231" t="s">
        <v>137</v>
      </c>
      <c r="B150" s="158" t="s">
        <v>274</v>
      </c>
      <c r="C150" s="158" t="s">
        <v>155</v>
      </c>
      <c r="D150" s="158" t="s">
        <v>250</v>
      </c>
      <c r="E150" s="159" t="s">
        <v>348</v>
      </c>
      <c r="F150" s="63"/>
      <c r="G150" s="63"/>
      <c r="H150" s="63"/>
      <c r="I150" s="30">
        <v>2</v>
      </c>
      <c r="J150" s="30">
        <v>2</v>
      </c>
      <c r="K150" s="233">
        <v>42156</v>
      </c>
      <c r="L150" s="249" t="str">
        <f t="shared" ref="L150:M150" si="10">CONCATENATE("Level"," ",MIN(I150:I160))</f>
        <v>Level 1</v>
      </c>
      <c r="M150" s="252" t="str">
        <f t="shared" si="10"/>
        <v>Level 2</v>
      </c>
      <c r="U150" s="218">
        <v>1</v>
      </c>
      <c r="V150" s="19" t="s">
        <v>244</v>
      </c>
      <c r="W150" s="19"/>
      <c r="X150" s="241"/>
    </row>
    <row r="151" spans="1:24" ht="60" x14ac:dyDescent="0.25">
      <c r="A151" s="230" t="s">
        <v>137</v>
      </c>
      <c r="B151" s="190" t="s">
        <v>274</v>
      </c>
      <c r="C151" s="190" t="s">
        <v>155</v>
      </c>
      <c r="D151" s="190" t="s">
        <v>257</v>
      </c>
      <c r="E151" s="191" t="s">
        <v>348</v>
      </c>
      <c r="F151" s="192"/>
      <c r="G151" s="192"/>
      <c r="H151" s="192"/>
      <c r="I151" s="193">
        <v>2</v>
      </c>
      <c r="J151" s="193">
        <v>2</v>
      </c>
      <c r="K151" s="85">
        <v>42156</v>
      </c>
      <c r="L151" s="250"/>
      <c r="M151" s="253"/>
      <c r="U151" s="218">
        <v>4</v>
      </c>
      <c r="V151" s="19" t="s">
        <v>244</v>
      </c>
      <c r="W151" s="19"/>
      <c r="X151" s="241"/>
    </row>
    <row r="152" spans="1:24" ht="45" x14ac:dyDescent="0.25">
      <c r="A152" s="230" t="s">
        <v>137</v>
      </c>
      <c r="B152" s="190" t="s">
        <v>274</v>
      </c>
      <c r="C152" s="190" t="s">
        <v>155</v>
      </c>
      <c r="D152" s="190" t="s">
        <v>266</v>
      </c>
      <c r="E152" s="191" t="s">
        <v>348</v>
      </c>
      <c r="F152" s="192"/>
      <c r="G152" s="192"/>
      <c r="H152" s="192"/>
      <c r="I152" s="193">
        <v>2</v>
      </c>
      <c r="J152" s="193">
        <v>2</v>
      </c>
      <c r="K152" s="85">
        <v>42156</v>
      </c>
      <c r="L152" s="250"/>
      <c r="M152" s="253"/>
      <c r="U152" s="218">
        <v>2</v>
      </c>
      <c r="V152" s="19" t="s">
        <v>244</v>
      </c>
      <c r="W152" s="19"/>
      <c r="X152" s="241"/>
    </row>
    <row r="153" spans="1:24" ht="75" x14ac:dyDescent="0.25">
      <c r="A153" s="230" t="s">
        <v>137</v>
      </c>
      <c r="B153" s="190" t="s">
        <v>274</v>
      </c>
      <c r="C153" s="190" t="s">
        <v>155</v>
      </c>
      <c r="D153" s="190" t="s">
        <v>252</v>
      </c>
      <c r="E153" s="191" t="s">
        <v>348</v>
      </c>
      <c r="F153" s="192"/>
      <c r="G153" s="192"/>
      <c r="H153" s="192"/>
      <c r="I153" s="193">
        <v>2</v>
      </c>
      <c r="J153" s="193">
        <v>3</v>
      </c>
      <c r="K153" s="85">
        <v>42156</v>
      </c>
      <c r="L153" s="250"/>
      <c r="M153" s="253"/>
      <c r="U153" s="218">
        <v>3</v>
      </c>
      <c r="V153" s="19" t="s">
        <v>244</v>
      </c>
      <c r="W153" s="19"/>
      <c r="X153" s="241"/>
    </row>
    <row r="154" spans="1:24" ht="30" x14ac:dyDescent="0.25">
      <c r="A154" s="230" t="s">
        <v>137</v>
      </c>
      <c r="B154" s="190" t="s">
        <v>274</v>
      </c>
      <c r="C154" s="190" t="s">
        <v>155</v>
      </c>
      <c r="D154" s="190" t="s">
        <v>263</v>
      </c>
      <c r="E154" s="191" t="s">
        <v>0</v>
      </c>
      <c r="F154" s="192"/>
      <c r="G154" s="192"/>
      <c r="H154" s="192"/>
      <c r="I154" s="193">
        <v>1</v>
      </c>
      <c r="J154" s="193">
        <v>2</v>
      </c>
      <c r="K154" s="85">
        <v>42156</v>
      </c>
      <c r="L154" s="250"/>
      <c r="M154" s="253"/>
      <c r="U154" s="218">
        <v>55</v>
      </c>
      <c r="V154" s="19" t="s">
        <v>244</v>
      </c>
      <c r="W154" s="19"/>
      <c r="X154" s="241"/>
    </row>
    <row r="155" spans="1:24" ht="45" x14ac:dyDescent="0.25">
      <c r="A155" s="224" t="s">
        <v>137</v>
      </c>
      <c r="B155" s="160" t="s">
        <v>274</v>
      </c>
      <c r="C155" s="160" t="s">
        <v>155</v>
      </c>
      <c r="D155" s="160" t="s">
        <v>247</v>
      </c>
      <c r="E155" s="47" t="s">
        <v>34</v>
      </c>
      <c r="F155" s="126"/>
      <c r="G155" s="97"/>
      <c r="H155" s="97"/>
      <c r="I155" s="25">
        <v>2</v>
      </c>
      <c r="J155" s="26">
        <v>3</v>
      </c>
      <c r="K155" s="85">
        <v>42156</v>
      </c>
      <c r="L155" s="250"/>
      <c r="M155" s="253"/>
      <c r="U155" s="218">
        <v>56</v>
      </c>
      <c r="V155" s="19" t="s">
        <v>244</v>
      </c>
      <c r="W155" s="19"/>
      <c r="X155" s="241"/>
    </row>
    <row r="156" spans="1:24" ht="45" x14ac:dyDescent="0.25">
      <c r="A156" s="224" t="s">
        <v>137</v>
      </c>
      <c r="B156" s="160" t="s">
        <v>274</v>
      </c>
      <c r="C156" s="160" t="s">
        <v>155</v>
      </c>
      <c r="D156" s="160" t="s">
        <v>248</v>
      </c>
      <c r="E156" s="47" t="s">
        <v>34</v>
      </c>
      <c r="F156" s="126"/>
      <c r="G156" s="97"/>
      <c r="H156" s="97"/>
      <c r="I156" s="25">
        <v>1</v>
      </c>
      <c r="J156" s="26">
        <v>2</v>
      </c>
      <c r="K156" s="85">
        <v>42156</v>
      </c>
      <c r="L156" s="250"/>
      <c r="M156" s="253"/>
      <c r="U156" s="218">
        <v>56</v>
      </c>
      <c r="V156" s="19" t="s">
        <v>244</v>
      </c>
      <c r="W156" s="19"/>
      <c r="X156" s="241"/>
    </row>
    <row r="157" spans="1:24" ht="45" x14ac:dyDescent="0.25">
      <c r="A157" s="224" t="s">
        <v>137</v>
      </c>
      <c r="B157" s="160" t="s">
        <v>274</v>
      </c>
      <c r="C157" s="160" t="s">
        <v>155</v>
      </c>
      <c r="D157" s="160" t="s">
        <v>260</v>
      </c>
      <c r="E157" s="161" t="s">
        <v>35</v>
      </c>
      <c r="F157" s="96"/>
      <c r="G157" s="96"/>
      <c r="H157" s="96"/>
      <c r="I157" s="25">
        <v>1</v>
      </c>
      <c r="J157" s="26">
        <v>2</v>
      </c>
      <c r="K157" s="85">
        <v>42156</v>
      </c>
      <c r="L157" s="250"/>
      <c r="M157" s="253"/>
      <c r="U157" s="218">
        <v>57</v>
      </c>
      <c r="V157" s="19" t="s">
        <v>244</v>
      </c>
      <c r="W157" s="19"/>
      <c r="X157" s="241"/>
    </row>
    <row r="158" spans="1:24" ht="30" x14ac:dyDescent="0.25">
      <c r="A158" s="224" t="s">
        <v>137</v>
      </c>
      <c r="B158" s="160" t="s">
        <v>274</v>
      </c>
      <c r="C158" s="160" t="s">
        <v>155</v>
      </c>
      <c r="D158" s="160" t="s">
        <v>249</v>
      </c>
      <c r="E158" s="162" t="s">
        <v>36</v>
      </c>
      <c r="F158" s="127"/>
      <c r="G158" s="98"/>
      <c r="H158" s="98"/>
      <c r="I158" s="25">
        <v>1</v>
      </c>
      <c r="J158" s="26">
        <v>2</v>
      </c>
      <c r="K158" s="85">
        <v>42156</v>
      </c>
      <c r="L158" s="250"/>
      <c r="M158" s="253"/>
      <c r="U158" s="218">
        <v>58</v>
      </c>
      <c r="V158" s="19" t="s">
        <v>244</v>
      </c>
      <c r="W158" s="19"/>
      <c r="X158" s="241"/>
    </row>
    <row r="159" spans="1:24" ht="30" x14ac:dyDescent="0.25">
      <c r="A159" s="224" t="s">
        <v>137</v>
      </c>
      <c r="B159" s="160" t="s">
        <v>274</v>
      </c>
      <c r="C159" s="160" t="s">
        <v>155</v>
      </c>
      <c r="D159" s="160" t="s">
        <v>261</v>
      </c>
      <c r="E159" s="47" t="s">
        <v>37</v>
      </c>
      <c r="F159" s="126"/>
      <c r="G159" s="97"/>
      <c r="H159" s="97"/>
      <c r="I159" s="26">
        <v>2</v>
      </c>
      <c r="J159" s="26">
        <v>3</v>
      </c>
      <c r="K159" s="85">
        <v>42156</v>
      </c>
      <c r="L159" s="250"/>
      <c r="M159" s="253"/>
      <c r="U159" s="218">
        <v>59</v>
      </c>
      <c r="V159" s="19" t="s">
        <v>244</v>
      </c>
      <c r="W159" s="19"/>
      <c r="X159" s="241"/>
    </row>
    <row r="160" spans="1:24" ht="45.75" thickBot="1" x14ac:dyDescent="0.3">
      <c r="A160" s="225" t="s">
        <v>137</v>
      </c>
      <c r="B160" s="163" t="s">
        <v>274</v>
      </c>
      <c r="C160" s="163" t="s">
        <v>155</v>
      </c>
      <c r="D160" s="163" t="s">
        <v>298</v>
      </c>
      <c r="E160" s="164" t="s">
        <v>38</v>
      </c>
      <c r="F160" s="128"/>
      <c r="G160" s="129"/>
      <c r="H160" s="129"/>
      <c r="I160" s="31">
        <v>2</v>
      </c>
      <c r="J160" s="31">
        <v>2</v>
      </c>
      <c r="K160" s="86">
        <v>42156</v>
      </c>
      <c r="L160" s="251"/>
      <c r="M160" s="254"/>
      <c r="U160" s="218">
        <v>60</v>
      </c>
      <c r="V160" s="19" t="s">
        <v>244</v>
      </c>
      <c r="W160" s="19"/>
      <c r="X160" s="241"/>
    </row>
    <row r="161" spans="1:24" ht="30.75" thickTop="1" x14ac:dyDescent="0.25">
      <c r="A161" s="226" t="s">
        <v>137</v>
      </c>
      <c r="B161" s="165" t="s">
        <v>274</v>
      </c>
      <c r="C161" s="165" t="s">
        <v>156</v>
      </c>
      <c r="D161" s="165" t="s">
        <v>250</v>
      </c>
      <c r="E161" s="166" t="s">
        <v>348</v>
      </c>
      <c r="F161" s="130"/>
      <c r="G161" s="130"/>
      <c r="H161" s="130"/>
      <c r="I161" s="32">
        <v>1</v>
      </c>
      <c r="J161" s="32">
        <v>2</v>
      </c>
      <c r="K161" s="203">
        <v>42156</v>
      </c>
      <c r="L161" s="249" t="str">
        <f t="shared" ref="L161:M161" si="11">CONCATENATE("Level"," ",MIN(I161:I172))</f>
        <v>Level 1</v>
      </c>
      <c r="M161" s="252" t="str">
        <f t="shared" si="11"/>
        <v>Level 2</v>
      </c>
      <c r="U161" s="218">
        <v>1</v>
      </c>
      <c r="V161" s="19" t="s">
        <v>244</v>
      </c>
      <c r="W161" s="19"/>
      <c r="X161" s="241"/>
    </row>
    <row r="162" spans="1:24" ht="60" x14ac:dyDescent="0.25">
      <c r="A162" s="228" t="s">
        <v>137</v>
      </c>
      <c r="B162" s="199" t="s">
        <v>274</v>
      </c>
      <c r="C162" s="199" t="s">
        <v>156</v>
      </c>
      <c r="D162" s="199" t="s">
        <v>257</v>
      </c>
      <c r="E162" s="200" t="s">
        <v>348</v>
      </c>
      <c r="F162" s="201"/>
      <c r="G162" s="201"/>
      <c r="H162" s="201"/>
      <c r="I162" s="202">
        <v>1</v>
      </c>
      <c r="J162" s="202">
        <v>2</v>
      </c>
      <c r="K162" s="88">
        <v>42156</v>
      </c>
      <c r="L162" s="250"/>
      <c r="M162" s="253"/>
      <c r="U162" s="218">
        <v>4</v>
      </c>
      <c r="V162" s="19" t="s">
        <v>244</v>
      </c>
      <c r="W162" s="19"/>
      <c r="X162" s="241"/>
    </row>
    <row r="163" spans="1:24" ht="45" x14ac:dyDescent="0.25">
      <c r="A163" s="228" t="s">
        <v>137</v>
      </c>
      <c r="B163" s="199" t="s">
        <v>274</v>
      </c>
      <c r="C163" s="199" t="s">
        <v>156</v>
      </c>
      <c r="D163" s="199" t="s">
        <v>266</v>
      </c>
      <c r="E163" s="200" t="s">
        <v>348</v>
      </c>
      <c r="F163" s="201"/>
      <c r="G163" s="201"/>
      <c r="H163" s="201"/>
      <c r="I163" s="202">
        <v>2</v>
      </c>
      <c r="J163" s="202">
        <v>3</v>
      </c>
      <c r="K163" s="88">
        <v>42156</v>
      </c>
      <c r="L163" s="250"/>
      <c r="M163" s="253"/>
      <c r="U163" s="218">
        <v>2</v>
      </c>
      <c r="V163" s="19" t="s">
        <v>244</v>
      </c>
      <c r="W163" s="19"/>
      <c r="X163" s="241"/>
    </row>
    <row r="164" spans="1:24" ht="30" x14ac:dyDescent="0.25">
      <c r="A164" s="228" t="s">
        <v>137</v>
      </c>
      <c r="B164" s="199" t="s">
        <v>274</v>
      </c>
      <c r="C164" s="199" t="s">
        <v>156</v>
      </c>
      <c r="D164" s="199" t="s">
        <v>273</v>
      </c>
      <c r="E164" s="200" t="s">
        <v>348</v>
      </c>
      <c r="F164" s="201"/>
      <c r="G164" s="201"/>
      <c r="H164" s="201"/>
      <c r="I164" s="202">
        <v>1</v>
      </c>
      <c r="J164" s="202">
        <v>2</v>
      </c>
      <c r="K164" s="88">
        <v>42156</v>
      </c>
      <c r="L164" s="250"/>
      <c r="M164" s="253"/>
      <c r="U164" s="218">
        <v>9</v>
      </c>
      <c r="V164" s="19" t="s">
        <v>244</v>
      </c>
      <c r="W164" s="19"/>
      <c r="X164" s="241"/>
    </row>
    <row r="165" spans="1:24" ht="75" x14ac:dyDescent="0.25">
      <c r="A165" s="228" t="s">
        <v>137</v>
      </c>
      <c r="B165" s="199" t="s">
        <v>274</v>
      </c>
      <c r="C165" s="199" t="s">
        <v>156</v>
      </c>
      <c r="D165" s="199" t="s">
        <v>252</v>
      </c>
      <c r="E165" s="200" t="s">
        <v>348</v>
      </c>
      <c r="F165" s="201"/>
      <c r="G165" s="201"/>
      <c r="H165" s="201"/>
      <c r="I165" s="202">
        <v>2</v>
      </c>
      <c r="J165" s="202">
        <v>3</v>
      </c>
      <c r="K165" s="88">
        <v>42156</v>
      </c>
      <c r="L165" s="250"/>
      <c r="M165" s="253"/>
      <c r="U165" s="218">
        <v>3</v>
      </c>
      <c r="V165" s="19" t="s">
        <v>244</v>
      </c>
      <c r="W165" s="19"/>
      <c r="X165" s="241"/>
    </row>
    <row r="166" spans="1:24" ht="30" x14ac:dyDescent="0.25">
      <c r="A166" s="228" t="s">
        <v>137</v>
      </c>
      <c r="B166" s="199" t="s">
        <v>274</v>
      </c>
      <c r="C166" s="199" t="s">
        <v>156</v>
      </c>
      <c r="D166" s="199" t="s">
        <v>263</v>
      </c>
      <c r="E166" s="200" t="s">
        <v>0</v>
      </c>
      <c r="F166" s="201"/>
      <c r="G166" s="201"/>
      <c r="H166" s="201"/>
      <c r="I166" s="202">
        <v>1</v>
      </c>
      <c r="J166" s="202">
        <v>2</v>
      </c>
      <c r="K166" s="88">
        <v>42156</v>
      </c>
      <c r="L166" s="250"/>
      <c r="M166" s="253"/>
      <c r="U166" s="218">
        <v>55</v>
      </c>
      <c r="V166" s="19" t="s">
        <v>244</v>
      </c>
      <c r="W166" s="19"/>
      <c r="X166" s="241"/>
    </row>
    <row r="167" spans="1:24" ht="45" x14ac:dyDescent="0.25">
      <c r="A167" s="227" t="s">
        <v>137</v>
      </c>
      <c r="B167" s="167" t="s">
        <v>274</v>
      </c>
      <c r="C167" s="167" t="s">
        <v>156</v>
      </c>
      <c r="D167" s="167" t="s">
        <v>247</v>
      </c>
      <c r="E167" s="50" t="s">
        <v>34</v>
      </c>
      <c r="F167" s="131"/>
      <c r="G167" s="92"/>
      <c r="H167" s="92"/>
      <c r="I167" s="6">
        <v>2</v>
      </c>
      <c r="J167" s="5">
        <v>3</v>
      </c>
      <c r="K167" s="88">
        <v>42156</v>
      </c>
      <c r="L167" s="250"/>
      <c r="M167" s="253"/>
      <c r="U167" s="218">
        <v>56</v>
      </c>
      <c r="V167" s="19" t="s">
        <v>244</v>
      </c>
      <c r="W167" s="19"/>
      <c r="X167" s="241"/>
    </row>
    <row r="168" spans="1:24" ht="45" x14ac:dyDescent="0.25">
      <c r="A168" s="227" t="s">
        <v>137</v>
      </c>
      <c r="B168" s="167" t="s">
        <v>274</v>
      </c>
      <c r="C168" s="167" t="s">
        <v>156</v>
      </c>
      <c r="D168" s="167" t="s">
        <v>248</v>
      </c>
      <c r="E168" s="50" t="s">
        <v>34</v>
      </c>
      <c r="F168" s="131"/>
      <c r="G168" s="92"/>
      <c r="H168" s="92"/>
      <c r="I168" s="6">
        <v>1</v>
      </c>
      <c r="J168" s="5">
        <v>2</v>
      </c>
      <c r="K168" s="88">
        <v>42156</v>
      </c>
      <c r="L168" s="250"/>
      <c r="M168" s="253"/>
      <c r="U168" s="218">
        <v>56</v>
      </c>
      <c r="V168" s="19" t="s">
        <v>244</v>
      </c>
      <c r="W168" s="19"/>
      <c r="X168" s="241"/>
    </row>
    <row r="169" spans="1:24" ht="45" x14ac:dyDescent="0.25">
      <c r="A169" s="227" t="s">
        <v>137</v>
      </c>
      <c r="B169" s="167" t="s">
        <v>274</v>
      </c>
      <c r="C169" s="167" t="s">
        <v>156</v>
      </c>
      <c r="D169" s="167" t="s">
        <v>260</v>
      </c>
      <c r="E169" s="168" t="s">
        <v>35</v>
      </c>
      <c r="F169" s="93"/>
      <c r="G169" s="93"/>
      <c r="H169" s="93"/>
      <c r="I169" s="6">
        <v>1</v>
      </c>
      <c r="J169" s="5">
        <v>2</v>
      </c>
      <c r="K169" s="88">
        <v>42156</v>
      </c>
      <c r="L169" s="250"/>
      <c r="M169" s="253"/>
      <c r="U169" s="218">
        <v>57</v>
      </c>
      <c r="V169" s="19" t="s">
        <v>244</v>
      </c>
      <c r="W169" s="19"/>
      <c r="X169" s="241"/>
    </row>
    <row r="170" spans="1:24" ht="30" x14ac:dyDescent="0.25">
      <c r="A170" s="227" t="s">
        <v>137</v>
      </c>
      <c r="B170" s="167" t="s">
        <v>274</v>
      </c>
      <c r="C170" s="167" t="s">
        <v>156</v>
      </c>
      <c r="D170" s="167" t="s">
        <v>249</v>
      </c>
      <c r="E170" s="169" t="s">
        <v>36</v>
      </c>
      <c r="F170" s="132"/>
      <c r="G170" s="91"/>
      <c r="H170" s="91"/>
      <c r="I170" s="6">
        <v>1</v>
      </c>
      <c r="J170" s="5">
        <v>2</v>
      </c>
      <c r="K170" s="88">
        <v>42156</v>
      </c>
      <c r="L170" s="250"/>
      <c r="M170" s="253"/>
      <c r="U170" s="218">
        <v>58</v>
      </c>
      <c r="V170" s="19" t="s">
        <v>244</v>
      </c>
      <c r="W170" s="19"/>
      <c r="X170" s="241"/>
    </row>
    <row r="171" spans="1:24" ht="30" x14ac:dyDescent="0.25">
      <c r="A171" s="227" t="s">
        <v>137</v>
      </c>
      <c r="B171" s="167" t="s">
        <v>274</v>
      </c>
      <c r="C171" s="167" t="s">
        <v>156</v>
      </c>
      <c r="D171" s="167" t="s">
        <v>261</v>
      </c>
      <c r="E171" s="50" t="s">
        <v>37</v>
      </c>
      <c r="F171" s="131"/>
      <c r="G171" s="92"/>
      <c r="H171" s="92"/>
      <c r="I171" s="5">
        <v>1</v>
      </c>
      <c r="J171" s="5">
        <v>2</v>
      </c>
      <c r="K171" s="88">
        <v>42156</v>
      </c>
      <c r="L171" s="250"/>
      <c r="M171" s="253"/>
      <c r="U171" s="218">
        <v>59</v>
      </c>
      <c r="V171" s="19" t="s">
        <v>244</v>
      </c>
      <c r="W171" s="19"/>
      <c r="X171" s="241"/>
    </row>
    <row r="172" spans="1:24" ht="45.75" thickBot="1" x14ac:dyDescent="0.3">
      <c r="A172" s="229" t="s">
        <v>137</v>
      </c>
      <c r="B172" s="170" t="s">
        <v>274</v>
      </c>
      <c r="C172" s="170" t="s">
        <v>156</v>
      </c>
      <c r="D172" s="170" t="s">
        <v>298</v>
      </c>
      <c r="E172" s="171" t="s">
        <v>38</v>
      </c>
      <c r="F172" s="133"/>
      <c r="G172" s="101"/>
      <c r="H172" s="101"/>
      <c r="I172" s="33">
        <v>1</v>
      </c>
      <c r="J172" s="33">
        <v>2</v>
      </c>
      <c r="K172" s="89">
        <v>42156</v>
      </c>
      <c r="L172" s="251"/>
      <c r="M172" s="254"/>
      <c r="U172" s="218">
        <v>60</v>
      </c>
      <c r="V172" s="19" t="s">
        <v>244</v>
      </c>
      <c r="W172" s="19"/>
      <c r="X172" s="241"/>
    </row>
    <row r="173" spans="1:24" ht="45.75" thickTop="1" x14ac:dyDescent="0.25">
      <c r="A173" s="231" t="s">
        <v>137</v>
      </c>
      <c r="B173" s="158" t="s">
        <v>270</v>
      </c>
      <c r="C173" s="158" t="s">
        <v>157</v>
      </c>
      <c r="D173" s="158" t="s">
        <v>250</v>
      </c>
      <c r="E173" s="159" t="s">
        <v>348</v>
      </c>
      <c r="F173" s="63"/>
      <c r="G173" s="63"/>
      <c r="H173" s="63"/>
      <c r="I173" s="30">
        <v>1</v>
      </c>
      <c r="J173" s="30">
        <v>2</v>
      </c>
      <c r="K173" s="233">
        <v>42156</v>
      </c>
      <c r="L173" s="250" t="str">
        <f t="shared" ref="L173:M173" si="12">CONCATENATE("Level"," ",MIN(I173:I184))</f>
        <v>Level 1</v>
      </c>
      <c r="M173" s="253" t="str">
        <f t="shared" si="12"/>
        <v>Level 2</v>
      </c>
      <c r="U173" s="218">
        <v>1</v>
      </c>
      <c r="V173" s="19" t="s">
        <v>244</v>
      </c>
      <c r="W173" s="19"/>
      <c r="X173" s="241"/>
    </row>
    <row r="174" spans="1:24" ht="45" x14ac:dyDescent="0.25">
      <c r="A174" s="230" t="s">
        <v>137</v>
      </c>
      <c r="B174" s="190" t="s">
        <v>270</v>
      </c>
      <c r="C174" s="190" t="s">
        <v>157</v>
      </c>
      <c r="D174" s="190" t="s">
        <v>266</v>
      </c>
      <c r="E174" s="191" t="s">
        <v>348</v>
      </c>
      <c r="F174" s="192"/>
      <c r="G174" s="192"/>
      <c r="H174" s="192"/>
      <c r="I174" s="193">
        <v>2</v>
      </c>
      <c r="J174" s="193">
        <v>3</v>
      </c>
      <c r="K174" s="85">
        <v>42156</v>
      </c>
      <c r="L174" s="250"/>
      <c r="M174" s="253"/>
      <c r="U174" s="218">
        <v>2</v>
      </c>
      <c r="V174" s="19" t="s">
        <v>244</v>
      </c>
      <c r="W174" s="19"/>
      <c r="X174" s="241"/>
    </row>
    <row r="175" spans="1:24" ht="45" x14ac:dyDescent="0.25">
      <c r="A175" s="230" t="s">
        <v>137</v>
      </c>
      <c r="B175" s="190" t="s">
        <v>270</v>
      </c>
      <c r="C175" s="190" t="s">
        <v>157</v>
      </c>
      <c r="D175" s="190" t="s">
        <v>272</v>
      </c>
      <c r="E175" s="191" t="s">
        <v>348</v>
      </c>
      <c r="F175" s="192"/>
      <c r="G175" s="192"/>
      <c r="H175" s="192"/>
      <c r="I175" s="193">
        <v>1</v>
      </c>
      <c r="J175" s="193">
        <v>2</v>
      </c>
      <c r="K175" s="85">
        <v>42156</v>
      </c>
      <c r="L175" s="250"/>
      <c r="M175" s="253"/>
      <c r="U175" s="218">
        <v>10</v>
      </c>
      <c r="V175" s="19" t="s">
        <v>244</v>
      </c>
      <c r="W175" s="19"/>
      <c r="X175" s="241"/>
    </row>
    <row r="176" spans="1:24" ht="45" x14ac:dyDescent="0.25">
      <c r="A176" s="230" t="s">
        <v>137</v>
      </c>
      <c r="B176" s="190" t="s">
        <v>270</v>
      </c>
      <c r="C176" s="190" t="s">
        <v>157</v>
      </c>
      <c r="D176" s="190" t="s">
        <v>273</v>
      </c>
      <c r="E176" s="191" t="s">
        <v>348</v>
      </c>
      <c r="F176" s="192"/>
      <c r="G176" s="192"/>
      <c r="H176" s="192"/>
      <c r="I176" s="193">
        <v>1</v>
      </c>
      <c r="J176" s="193">
        <v>2</v>
      </c>
      <c r="K176" s="85">
        <v>42156</v>
      </c>
      <c r="L176" s="250"/>
      <c r="M176" s="253"/>
      <c r="U176" s="218">
        <v>9</v>
      </c>
      <c r="V176" s="19" t="s">
        <v>244</v>
      </c>
      <c r="W176" s="19"/>
      <c r="X176" s="241"/>
    </row>
    <row r="177" spans="1:24" ht="75" x14ac:dyDescent="0.25">
      <c r="A177" s="230" t="s">
        <v>137</v>
      </c>
      <c r="B177" s="190" t="s">
        <v>270</v>
      </c>
      <c r="C177" s="190" t="s">
        <v>157</v>
      </c>
      <c r="D177" s="190" t="s">
        <v>252</v>
      </c>
      <c r="E177" s="191" t="s">
        <v>348</v>
      </c>
      <c r="F177" s="192"/>
      <c r="G177" s="192"/>
      <c r="H177" s="192"/>
      <c r="I177" s="193">
        <v>1</v>
      </c>
      <c r="J177" s="193">
        <v>2</v>
      </c>
      <c r="K177" s="85">
        <v>42156</v>
      </c>
      <c r="L177" s="250"/>
      <c r="M177" s="253"/>
      <c r="U177" s="218">
        <v>3</v>
      </c>
      <c r="V177" s="19" t="s">
        <v>244</v>
      </c>
      <c r="W177" s="19"/>
      <c r="X177" s="241"/>
    </row>
    <row r="178" spans="1:24" ht="45" x14ac:dyDescent="0.25">
      <c r="A178" s="230" t="s">
        <v>137</v>
      </c>
      <c r="B178" s="190" t="s">
        <v>270</v>
      </c>
      <c r="C178" s="190" t="s">
        <v>157</v>
      </c>
      <c r="D178" s="190" t="s">
        <v>263</v>
      </c>
      <c r="E178" s="191" t="s">
        <v>0</v>
      </c>
      <c r="F178" s="192"/>
      <c r="G178" s="192"/>
      <c r="H178" s="192"/>
      <c r="I178" s="193">
        <v>1</v>
      </c>
      <c r="J178" s="193">
        <v>2</v>
      </c>
      <c r="K178" s="85">
        <v>42156</v>
      </c>
      <c r="L178" s="250"/>
      <c r="M178" s="253"/>
      <c r="U178" s="218">
        <v>55</v>
      </c>
      <c r="V178" s="19" t="s">
        <v>244</v>
      </c>
      <c r="W178" s="19"/>
      <c r="X178" s="241"/>
    </row>
    <row r="179" spans="1:24" ht="45" x14ac:dyDescent="0.25">
      <c r="A179" s="224" t="s">
        <v>137</v>
      </c>
      <c r="B179" s="160" t="s">
        <v>270</v>
      </c>
      <c r="C179" s="160" t="s">
        <v>157</v>
      </c>
      <c r="D179" s="160" t="s">
        <v>247</v>
      </c>
      <c r="E179" s="47" t="s">
        <v>34</v>
      </c>
      <c r="F179" s="126"/>
      <c r="G179" s="97"/>
      <c r="H179" s="97"/>
      <c r="I179" s="25">
        <v>1</v>
      </c>
      <c r="J179" s="26">
        <v>2</v>
      </c>
      <c r="K179" s="85">
        <v>42156</v>
      </c>
      <c r="L179" s="250"/>
      <c r="M179" s="253"/>
      <c r="U179" s="218">
        <v>56</v>
      </c>
      <c r="V179" s="19" t="s">
        <v>244</v>
      </c>
      <c r="W179" s="19"/>
      <c r="X179" s="241"/>
    </row>
    <row r="180" spans="1:24" ht="45" x14ac:dyDescent="0.25">
      <c r="A180" s="224" t="s">
        <v>137</v>
      </c>
      <c r="B180" s="160" t="s">
        <v>270</v>
      </c>
      <c r="C180" s="160" t="s">
        <v>157</v>
      </c>
      <c r="D180" s="160" t="s">
        <v>248</v>
      </c>
      <c r="E180" s="47" t="s">
        <v>34</v>
      </c>
      <c r="F180" s="126"/>
      <c r="G180" s="97"/>
      <c r="H180" s="97"/>
      <c r="I180" s="25">
        <v>1</v>
      </c>
      <c r="J180" s="26">
        <v>2</v>
      </c>
      <c r="K180" s="85">
        <v>42156</v>
      </c>
      <c r="L180" s="250"/>
      <c r="M180" s="253"/>
      <c r="U180" s="218">
        <v>56</v>
      </c>
      <c r="V180" s="19" t="s">
        <v>244</v>
      </c>
      <c r="W180" s="19"/>
      <c r="X180" s="241"/>
    </row>
    <row r="181" spans="1:24" ht="45" x14ac:dyDescent="0.25">
      <c r="A181" s="224" t="s">
        <v>137</v>
      </c>
      <c r="B181" s="160" t="s">
        <v>270</v>
      </c>
      <c r="C181" s="160" t="s">
        <v>157</v>
      </c>
      <c r="D181" s="160" t="s">
        <v>260</v>
      </c>
      <c r="E181" s="161" t="s">
        <v>35</v>
      </c>
      <c r="F181" s="96"/>
      <c r="G181" s="96"/>
      <c r="H181" s="96"/>
      <c r="I181" s="25">
        <v>1</v>
      </c>
      <c r="J181" s="26">
        <v>2</v>
      </c>
      <c r="K181" s="85">
        <v>42156</v>
      </c>
      <c r="L181" s="250"/>
      <c r="M181" s="253"/>
      <c r="U181" s="218">
        <v>57</v>
      </c>
      <c r="V181" s="19" t="s">
        <v>244</v>
      </c>
      <c r="W181" s="19"/>
      <c r="X181" s="241"/>
    </row>
    <row r="182" spans="1:24" ht="45" x14ac:dyDescent="0.25">
      <c r="A182" s="224" t="s">
        <v>137</v>
      </c>
      <c r="B182" s="160" t="s">
        <v>270</v>
      </c>
      <c r="C182" s="160" t="s">
        <v>157</v>
      </c>
      <c r="D182" s="160" t="s">
        <v>249</v>
      </c>
      <c r="E182" s="162" t="s">
        <v>36</v>
      </c>
      <c r="F182" s="127"/>
      <c r="G182" s="98"/>
      <c r="H182" s="98"/>
      <c r="I182" s="25">
        <v>1</v>
      </c>
      <c r="J182" s="26">
        <v>2</v>
      </c>
      <c r="K182" s="85">
        <v>42156</v>
      </c>
      <c r="L182" s="250"/>
      <c r="M182" s="253"/>
      <c r="U182" s="218">
        <v>58</v>
      </c>
      <c r="V182" s="19" t="s">
        <v>244</v>
      </c>
      <c r="W182" s="19"/>
      <c r="X182" s="241"/>
    </row>
    <row r="183" spans="1:24" ht="45" x14ac:dyDescent="0.25">
      <c r="A183" s="224" t="s">
        <v>137</v>
      </c>
      <c r="B183" s="160" t="s">
        <v>270</v>
      </c>
      <c r="C183" s="160" t="s">
        <v>157</v>
      </c>
      <c r="D183" s="160" t="s">
        <v>261</v>
      </c>
      <c r="E183" s="47" t="s">
        <v>37</v>
      </c>
      <c r="F183" s="126"/>
      <c r="G183" s="97"/>
      <c r="H183" s="97"/>
      <c r="I183" s="26">
        <v>1</v>
      </c>
      <c r="J183" s="26">
        <v>2</v>
      </c>
      <c r="K183" s="85">
        <v>42156</v>
      </c>
      <c r="L183" s="250"/>
      <c r="M183" s="253"/>
      <c r="U183" s="218">
        <v>59</v>
      </c>
      <c r="V183" s="19" t="s">
        <v>244</v>
      </c>
      <c r="W183" s="19"/>
      <c r="X183" s="241"/>
    </row>
    <row r="184" spans="1:24" ht="45.75" thickBot="1" x14ac:dyDescent="0.3">
      <c r="A184" s="225" t="s">
        <v>137</v>
      </c>
      <c r="B184" s="163" t="s">
        <v>270</v>
      </c>
      <c r="C184" s="163" t="s">
        <v>157</v>
      </c>
      <c r="D184" s="163" t="s">
        <v>262</v>
      </c>
      <c r="E184" s="164" t="s">
        <v>38</v>
      </c>
      <c r="F184" s="128"/>
      <c r="G184" s="129"/>
      <c r="H184" s="129"/>
      <c r="I184" s="31">
        <v>1</v>
      </c>
      <c r="J184" s="31">
        <v>2</v>
      </c>
      <c r="K184" s="86">
        <v>42156</v>
      </c>
      <c r="L184" s="251"/>
      <c r="M184" s="254"/>
      <c r="U184" s="218">
        <v>60</v>
      </c>
      <c r="V184" s="19" t="s">
        <v>244</v>
      </c>
      <c r="W184" s="19"/>
      <c r="X184" s="241"/>
    </row>
    <row r="185" spans="1:24" ht="30.75" thickTop="1" x14ac:dyDescent="0.25">
      <c r="A185" s="226" t="s">
        <v>137</v>
      </c>
      <c r="B185" s="165" t="s">
        <v>278</v>
      </c>
      <c r="C185" s="165" t="s">
        <v>158</v>
      </c>
      <c r="D185" s="165" t="s">
        <v>279</v>
      </c>
      <c r="E185" s="166" t="s">
        <v>348</v>
      </c>
      <c r="F185" s="130"/>
      <c r="G185" s="130"/>
      <c r="H185" s="130"/>
      <c r="I185" s="32">
        <v>2</v>
      </c>
      <c r="J185" s="32">
        <v>3</v>
      </c>
      <c r="K185" s="203">
        <v>42156</v>
      </c>
      <c r="L185" s="249" t="str">
        <f t="shared" ref="L185:M185" si="13">CONCATENATE("Level"," ",MIN(I185:I196))</f>
        <v>Level 1</v>
      </c>
      <c r="M185" s="252" t="str">
        <f t="shared" si="13"/>
        <v>Level 2</v>
      </c>
      <c r="U185" s="218">
        <v>11</v>
      </c>
      <c r="V185" s="19" t="s">
        <v>244</v>
      </c>
      <c r="W185" s="19"/>
      <c r="X185" s="241"/>
    </row>
    <row r="186" spans="1:24" ht="30" x14ac:dyDescent="0.25">
      <c r="A186" s="228" t="s">
        <v>137</v>
      </c>
      <c r="B186" s="199" t="s">
        <v>278</v>
      </c>
      <c r="C186" s="199" t="s">
        <v>158</v>
      </c>
      <c r="D186" s="199" t="s">
        <v>250</v>
      </c>
      <c r="E186" s="200" t="s">
        <v>348</v>
      </c>
      <c r="F186" s="201"/>
      <c r="G186" s="201"/>
      <c r="H186" s="201"/>
      <c r="I186" s="202">
        <v>2</v>
      </c>
      <c r="J186" s="202">
        <v>3</v>
      </c>
      <c r="K186" s="88">
        <v>42156</v>
      </c>
      <c r="L186" s="250"/>
      <c r="M186" s="253"/>
      <c r="U186" s="218">
        <v>1</v>
      </c>
      <c r="V186" s="19" t="s">
        <v>244</v>
      </c>
      <c r="W186" s="19"/>
      <c r="X186" s="241"/>
    </row>
    <row r="187" spans="1:24" ht="90" x14ac:dyDescent="0.25">
      <c r="A187" s="228" t="s">
        <v>137</v>
      </c>
      <c r="B187" s="199" t="s">
        <v>278</v>
      </c>
      <c r="C187" s="199" t="s">
        <v>158</v>
      </c>
      <c r="D187" s="199" t="s">
        <v>280</v>
      </c>
      <c r="E187" s="200" t="s">
        <v>348</v>
      </c>
      <c r="F187" s="201"/>
      <c r="G187" s="201"/>
      <c r="H187" s="201"/>
      <c r="I187" s="202">
        <v>2</v>
      </c>
      <c r="J187" s="202">
        <v>3</v>
      </c>
      <c r="K187" s="88">
        <v>42156</v>
      </c>
      <c r="L187" s="250"/>
      <c r="M187" s="253"/>
      <c r="U187" s="218">
        <v>12</v>
      </c>
      <c r="V187" s="19" t="s">
        <v>244</v>
      </c>
      <c r="W187" s="19"/>
      <c r="X187" s="241"/>
    </row>
    <row r="188" spans="1:24" ht="45" x14ac:dyDescent="0.25">
      <c r="A188" s="228" t="s">
        <v>137</v>
      </c>
      <c r="B188" s="199" t="s">
        <v>278</v>
      </c>
      <c r="C188" s="199" t="s">
        <v>158</v>
      </c>
      <c r="D188" s="199" t="s">
        <v>266</v>
      </c>
      <c r="E188" s="200" t="s">
        <v>348</v>
      </c>
      <c r="F188" s="201"/>
      <c r="G188" s="201"/>
      <c r="H188" s="201"/>
      <c r="I188" s="202">
        <v>2</v>
      </c>
      <c r="J188" s="202">
        <v>3</v>
      </c>
      <c r="K188" s="88">
        <v>42156</v>
      </c>
      <c r="L188" s="250"/>
      <c r="M188" s="253"/>
      <c r="U188" s="218">
        <v>2</v>
      </c>
      <c r="V188" s="19" t="s">
        <v>244</v>
      </c>
      <c r="W188" s="19"/>
      <c r="X188" s="241"/>
    </row>
    <row r="189" spans="1:24" ht="75" x14ac:dyDescent="0.25">
      <c r="A189" s="228" t="s">
        <v>137</v>
      </c>
      <c r="B189" s="199" t="s">
        <v>278</v>
      </c>
      <c r="C189" s="199" t="s">
        <v>158</v>
      </c>
      <c r="D189" s="199" t="s">
        <v>252</v>
      </c>
      <c r="E189" s="200" t="s">
        <v>348</v>
      </c>
      <c r="F189" s="201"/>
      <c r="G189" s="201"/>
      <c r="H189" s="201"/>
      <c r="I189" s="202">
        <v>2</v>
      </c>
      <c r="J189" s="202">
        <v>3</v>
      </c>
      <c r="K189" s="88">
        <v>42156</v>
      </c>
      <c r="L189" s="250"/>
      <c r="M189" s="253"/>
      <c r="U189" s="218">
        <v>3</v>
      </c>
      <c r="V189" s="19" t="s">
        <v>244</v>
      </c>
      <c r="W189" s="19"/>
      <c r="X189" s="241"/>
    </row>
    <row r="190" spans="1:24" ht="30" x14ac:dyDescent="0.25">
      <c r="A190" s="228" t="s">
        <v>137</v>
      </c>
      <c r="B190" s="199" t="s">
        <v>278</v>
      </c>
      <c r="C190" s="199" t="s">
        <v>158</v>
      </c>
      <c r="D190" s="199" t="s">
        <v>263</v>
      </c>
      <c r="E190" s="200" t="s">
        <v>0</v>
      </c>
      <c r="F190" s="201"/>
      <c r="G190" s="201"/>
      <c r="H190" s="201"/>
      <c r="I190" s="202">
        <v>2</v>
      </c>
      <c r="J190" s="202">
        <v>2</v>
      </c>
      <c r="K190" s="88">
        <v>42156</v>
      </c>
      <c r="L190" s="250"/>
      <c r="M190" s="253"/>
      <c r="U190" s="218">
        <v>55</v>
      </c>
      <c r="V190" s="19" t="s">
        <v>244</v>
      </c>
      <c r="W190" s="19"/>
      <c r="X190" s="241"/>
    </row>
    <row r="191" spans="1:24" ht="45" x14ac:dyDescent="0.25">
      <c r="A191" s="227" t="s">
        <v>137</v>
      </c>
      <c r="B191" s="167" t="s">
        <v>278</v>
      </c>
      <c r="C191" s="167" t="s">
        <v>158</v>
      </c>
      <c r="D191" s="167" t="s">
        <v>247</v>
      </c>
      <c r="E191" s="50" t="s">
        <v>34</v>
      </c>
      <c r="F191" s="131"/>
      <c r="G191" s="92"/>
      <c r="H191" s="92"/>
      <c r="I191" s="6">
        <v>2</v>
      </c>
      <c r="J191" s="5">
        <v>2</v>
      </c>
      <c r="K191" s="88">
        <v>42156</v>
      </c>
      <c r="L191" s="250"/>
      <c r="M191" s="253"/>
      <c r="U191" s="218">
        <v>56</v>
      </c>
      <c r="V191" s="19" t="s">
        <v>244</v>
      </c>
      <c r="W191" s="19"/>
      <c r="X191" s="241"/>
    </row>
    <row r="192" spans="1:24" ht="45" x14ac:dyDescent="0.25">
      <c r="A192" s="227" t="s">
        <v>137</v>
      </c>
      <c r="B192" s="167" t="s">
        <v>278</v>
      </c>
      <c r="C192" s="167" t="s">
        <v>158</v>
      </c>
      <c r="D192" s="167" t="s">
        <v>248</v>
      </c>
      <c r="E192" s="50" t="s">
        <v>34</v>
      </c>
      <c r="F192" s="131"/>
      <c r="G192" s="92"/>
      <c r="H192" s="92"/>
      <c r="I192" s="6">
        <v>2</v>
      </c>
      <c r="J192" s="5">
        <v>2</v>
      </c>
      <c r="K192" s="88">
        <v>42156</v>
      </c>
      <c r="L192" s="250"/>
      <c r="M192" s="253"/>
      <c r="U192" s="218">
        <v>56</v>
      </c>
      <c r="V192" s="19" t="s">
        <v>244</v>
      </c>
      <c r="W192" s="19"/>
      <c r="X192" s="241"/>
    </row>
    <row r="193" spans="1:24" ht="45" x14ac:dyDescent="0.25">
      <c r="A193" s="227" t="s">
        <v>137</v>
      </c>
      <c r="B193" s="167" t="s">
        <v>278</v>
      </c>
      <c r="C193" s="167" t="s">
        <v>158</v>
      </c>
      <c r="D193" s="167" t="s">
        <v>260</v>
      </c>
      <c r="E193" s="168" t="s">
        <v>35</v>
      </c>
      <c r="F193" s="93"/>
      <c r="G193" s="93"/>
      <c r="H193" s="93"/>
      <c r="I193" s="6">
        <v>2</v>
      </c>
      <c r="J193" s="5">
        <v>3</v>
      </c>
      <c r="K193" s="88">
        <v>42156</v>
      </c>
      <c r="L193" s="250"/>
      <c r="M193" s="253"/>
      <c r="U193" s="218">
        <v>57</v>
      </c>
      <c r="V193" s="19" t="s">
        <v>244</v>
      </c>
      <c r="W193" s="19"/>
      <c r="X193" s="241"/>
    </row>
    <row r="194" spans="1:24" ht="30" x14ac:dyDescent="0.25">
      <c r="A194" s="227" t="s">
        <v>137</v>
      </c>
      <c r="B194" s="167" t="s">
        <v>278</v>
      </c>
      <c r="C194" s="167" t="s">
        <v>158</v>
      </c>
      <c r="D194" s="167" t="s">
        <v>249</v>
      </c>
      <c r="E194" s="169" t="s">
        <v>36</v>
      </c>
      <c r="F194" s="132"/>
      <c r="G194" s="91"/>
      <c r="H194" s="91"/>
      <c r="I194" s="6">
        <v>1</v>
      </c>
      <c r="J194" s="5">
        <v>2</v>
      </c>
      <c r="K194" s="88">
        <v>42156</v>
      </c>
      <c r="L194" s="250"/>
      <c r="M194" s="253"/>
      <c r="U194" s="218">
        <v>58</v>
      </c>
      <c r="V194" s="19" t="s">
        <v>244</v>
      </c>
      <c r="W194" s="19"/>
      <c r="X194" s="241"/>
    </row>
    <row r="195" spans="1:24" ht="30" x14ac:dyDescent="0.25">
      <c r="A195" s="227" t="s">
        <v>137</v>
      </c>
      <c r="B195" s="167" t="s">
        <v>278</v>
      </c>
      <c r="C195" s="167" t="s">
        <v>158</v>
      </c>
      <c r="D195" s="167" t="s">
        <v>261</v>
      </c>
      <c r="E195" s="50" t="s">
        <v>37</v>
      </c>
      <c r="F195" s="131"/>
      <c r="G195" s="92"/>
      <c r="H195" s="92"/>
      <c r="I195" s="5">
        <v>1</v>
      </c>
      <c r="J195" s="5">
        <v>2</v>
      </c>
      <c r="K195" s="88">
        <v>42156</v>
      </c>
      <c r="L195" s="250"/>
      <c r="M195" s="253"/>
      <c r="U195" s="218">
        <v>59</v>
      </c>
      <c r="V195" s="19" t="s">
        <v>244</v>
      </c>
      <c r="W195" s="19"/>
      <c r="X195" s="241"/>
    </row>
    <row r="196" spans="1:24" ht="45.75" thickBot="1" x14ac:dyDescent="0.3">
      <c r="A196" s="229" t="s">
        <v>137</v>
      </c>
      <c r="B196" s="170" t="s">
        <v>278</v>
      </c>
      <c r="C196" s="170" t="s">
        <v>158</v>
      </c>
      <c r="D196" s="170" t="s">
        <v>262</v>
      </c>
      <c r="E196" s="171" t="s">
        <v>38</v>
      </c>
      <c r="F196" s="133"/>
      <c r="G196" s="101"/>
      <c r="H196" s="101"/>
      <c r="I196" s="33">
        <v>2</v>
      </c>
      <c r="J196" s="33">
        <v>2</v>
      </c>
      <c r="K196" s="89">
        <v>42156</v>
      </c>
      <c r="L196" s="251"/>
      <c r="M196" s="254"/>
      <c r="U196" s="218">
        <v>60</v>
      </c>
      <c r="V196" s="19" t="s">
        <v>244</v>
      </c>
      <c r="W196" s="19"/>
      <c r="X196" s="241"/>
    </row>
    <row r="197" spans="1:24" ht="30.75" thickTop="1" x14ac:dyDescent="0.25">
      <c r="A197" s="231" t="s">
        <v>137</v>
      </c>
      <c r="B197" s="158" t="s">
        <v>278</v>
      </c>
      <c r="C197" s="158" t="s">
        <v>159</v>
      </c>
      <c r="D197" s="158" t="s">
        <v>250</v>
      </c>
      <c r="E197" s="159" t="s">
        <v>348</v>
      </c>
      <c r="F197" s="63"/>
      <c r="G197" s="63"/>
      <c r="H197" s="63"/>
      <c r="I197" s="30">
        <v>1</v>
      </c>
      <c r="J197" s="30">
        <v>2</v>
      </c>
      <c r="K197" s="233">
        <v>42156</v>
      </c>
      <c r="L197" s="250" t="str">
        <f t="shared" ref="L197:M197" si="14">CONCATENATE("Level"," ",MIN(I197:I208))</f>
        <v>Level 1</v>
      </c>
      <c r="M197" s="253" t="str">
        <f t="shared" si="14"/>
        <v>Level 2</v>
      </c>
      <c r="U197" s="218">
        <v>1</v>
      </c>
      <c r="V197" s="19" t="s">
        <v>244</v>
      </c>
      <c r="W197" s="19"/>
      <c r="X197" s="241"/>
    </row>
    <row r="198" spans="1:24" ht="75" x14ac:dyDescent="0.25">
      <c r="A198" s="230" t="s">
        <v>137</v>
      </c>
      <c r="B198" s="190" t="s">
        <v>278</v>
      </c>
      <c r="C198" s="190" t="s">
        <v>159</v>
      </c>
      <c r="D198" s="190" t="s">
        <v>281</v>
      </c>
      <c r="E198" s="191" t="s">
        <v>348</v>
      </c>
      <c r="F198" s="192"/>
      <c r="G198" s="192"/>
      <c r="H198" s="192"/>
      <c r="I198" s="193">
        <v>1</v>
      </c>
      <c r="J198" s="193">
        <v>2</v>
      </c>
      <c r="K198" s="85">
        <v>42156</v>
      </c>
      <c r="L198" s="250"/>
      <c r="M198" s="253"/>
      <c r="U198" s="218">
        <v>13</v>
      </c>
      <c r="V198" s="19" t="s">
        <v>244</v>
      </c>
      <c r="W198" s="19"/>
      <c r="X198" s="241"/>
    </row>
    <row r="199" spans="1:24" ht="45" x14ac:dyDescent="0.25">
      <c r="A199" s="230" t="s">
        <v>137</v>
      </c>
      <c r="B199" s="190" t="s">
        <v>278</v>
      </c>
      <c r="C199" s="190" t="s">
        <v>159</v>
      </c>
      <c r="D199" s="190" t="s">
        <v>266</v>
      </c>
      <c r="E199" s="191" t="s">
        <v>348</v>
      </c>
      <c r="F199" s="192"/>
      <c r="G199" s="192"/>
      <c r="H199" s="192"/>
      <c r="I199" s="193">
        <v>2</v>
      </c>
      <c r="J199" s="193">
        <v>2</v>
      </c>
      <c r="K199" s="85">
        <v>42156</v>
      </c>
      <c r="L199" s="250"/>
      <c r="M199" s="253"/>
      <c r="U199" s="218">
        <v>2</v>
      </c>
      <c r="V199" s="19" t="s">
        <v>244</v>
      </c>
      <c r="W199" s="19"/>
      <c r="X199" s="241"/>
    </row>
    <row r="200" spans="1:24" ht="45" x14ac:dyDescent="0.25">
      <c r="A200" s="230" t="s">
        <v>137</v>
      </c>
      <c r="B200" s="190" t="s">
        <v>278</v>
      </c>
      <c r="C200" s="190" t="s">
        <v>159</v>
      </c>
      <c r="D200" s="190" t="s">
        <v>282</v>
      </c>
      <c r="E200" s="191" t="s">
        <v>348</v>
      </c>
      <c r="F200" s="192"/>
      <c r="G200" s="192"/>
      <c r="H200" s="192"/>
      <c r="I200" s="193">
        <v>1</v>
      </c>
      <c r="J200" s="193">
        <v>2</v>
      </c>
      <c r="K200" s="85">
        <v>42156</v>
      </c>
      <c r="L200" s="250"/>
      <c r="M200" s="253"/>
      <c r="U200" s="218">
        <v>14</v>
      </c>
      <c r="V200" s="19" t="s">
        <v>244</v>
      </c>
      <c r="W200" s="19"/>
      <c r="X200" s="241"/>
    </row>
    <row r="201" spans="1:24" ht="75" x14ac:dyDescent="0.25">
      <c r="A201" s="230" t="s">
        <v>137</v>
      </c>
      <c r="B201" s="190" t="s">
        <v>278</v>
      </c>
      <c r="C201" s="190" t="s">
        <v>159</v>
      </c>
      <c r="D201" s="190" t="s">
        <v>252</v>
      </c>
      <c r="E201" s="191" t="s">
        <v>348</v>
      </c>
      <c r="F201" s="192"/>
      <c r="G201" s="192"/>
      <c r="H201" s="192"/>
      <c r="I201" s="193">
        <v>2</v>
      </c>
      <c r="J201" s="193">
        <v>3</v>
      </c>
      <c r="K201" s="85">
        <v>42156</v>
      </c>
      <c r="L201" s="250"/>
      <c r="M201" s="253"/>
      <c r="U201" s="218">
        <v>3</v>
      </c>
      <c r="V201" s="19" t="s">
        <v>244</v>
      </c>
      <c r="W201" s="19"/>
      <c r="X201" s="241"/>
    </row>
    <row r="202" spans="1:24" ht="30" x14ac:dyDescent="0.25">
      <c r="A202" s="230" t="s">
        <v>137</v>
      </c>
      <c r="B202" s="190" t="s">
        <v>278</v>
      </c>
      <c r="C202" s="190" t="s">
        <v>159</v>
      </c>
      <c r="D202" s="190" t="s">
        <v>263</v>
      </c>
      <c r="E202" s="191" t="s">
        <v>0</v>
      </c>
      <c r="F202" s="192"/>
      <c r="G202" s="192"/>
      <c r="H202" s="192"/>
      <c r="I202" s="193">
        <v>2</v>
      </c>
      <c r="J202" s="193">
        <v>2</v>
      </c>
      <c r="K202" s="85">
        <v>42156</v>
      </c>
      <c r="L202" s="250"/>
      <c r="M202" s="253"/>
      <c r="U202" s="218">
        <v>55</v>
      </c>
      <c r="V202" s="19" t="s">
        <v>244</v>
      </c>
      <c r="W202" s="19"/>
      <c r="X202" s="241"/>
    </row>
    <row r="203" spans="1:24" ht="45" x14ac:dyDescent="0.25">
      <c r="A203" s="224" t="s">
        <v>137</v>
      </c>
      <c r="B203" s="160" t="s">
        <v>278</v>
      </c>
      <c r="C203" s="160" t="s">
        <v>159</v>
      </c>
      <c r="D203" s="160" t="s">
        <v>299</v>
      </c>
      <c r="E203" s="47" t="s">
        <v>34</v>
      </c>
      <c r="F203" s="126"/>
      <c r="G203" s="97"/>
      <c r="H203" s="97"/>
      <c r="I203" s="25">
        <v>2</v>
      </c>
      <c r="J203" s="26">
        <v>2</v>
      </c>
      <c r="K203" s="85">
        <v>42156</v>
      </c>
      <c r="L203" s="250"/>
      <c r="M203" s="253"/>
      <c r="U203" s="218">
        <v>56</v>
      </c>
      <c r="V203" s="19" t="s">
        <v>244</v>
      </c>
      <c r="W203" s="19"/>
      <c r="X203" s="241"/>
    </row>
    <row r="204" spans="1:24" ht="45" x14ac:dyDescent="0.25">
      <c r="A204" s="224" t="s">
        <v>137</v>
      </c>
      <c r="B204" s="160" t="s">
        <v>278</v>
      </c>
      <c r="C204" s="160" t="s">
        <v>159</v>
      </c>
      <c r="D204" s="160" t="s">
        <v>248</v>
      </c>
      <c r="E204" s="47" t="s">
        <v>34</v>
      </c>
      <c r="F204" s="126"/>
      <c r="G204" s="97"/>
      <c r="H204" s="97"/>
      <c r="I204" s="25">
        <v>1</v>
      </c>
      <c r="J204" s="26">
        <v>2</v>
      </c>
      <c r="K204" s="85">
        <v>42156</v>
      </c>
      <c r="L204" s="250"/>
      <c r="M204" s="253"/>
      <c r="U204" s="218">
        <v>56</v>
      </c>
      <c r="V204" s="19" t="s">
        <v>244</v>
      </c>
      <c r="W204" s="19"/>
      <c r="X204" s="241"/>
    </row>
    <row r="205" spans="1:24" ht="45" x14ac:dyDescent="0.25">
      <c r="A205" s="224" t="s">
        <v>137</v>
      </c>
      <c r="B205" s="160" t="s">
        <v>278</v>
      </c>
      <c r="C205" s="160" t="s">
        <v>159</v>
      </c>
      <c r="D205" s="160" t="s">
        <v>300</v>
      </c>
      <c r="E205" s="161" t="s">
        <v>35</v>
      </c>
      <c r="F205" s="96"/>
      <c r="G205" s="96"/>
      <c r="H205" s="96"/>
      <c r="I205" s="25">
        <v>1</v>
      </c>
      <c r="J205" s="26">
        <v>2</v>
      </c>
      <c r="K205" s="85">
        <v>42156</v>
      </c>
      <c r="L205" s="250"/>
      <c r="M205" s="253"/>
      <c r="U205" s="218">
        <v>57</v>
      </c>
      <c r="V205" s="19" t="s">
        <v>244</v>
      </c>
      <c r="W205" s="19"/>
      <c r="X205" s="241"/>
    </row>
    <row r="206" spans="1:24" ht="30" x14ac:dyDescent="0.25">
      <c r="A206" s="224" t="s">
        <v>137</v>
      </c>
      <c r="B206" s="160" t="s">
        <v>278</v>
      </c>
      <c r="C206" s="160" t="s">
        <v>159</v>
      </c>
      <c r="D206" s="160" t="s">
        <v>249</v>
      </c>
      <c r="E206" s="162" t="s">
        <v>36</v>
      </c>
      <c r="F206" s="127"/>
      <c r="G206" s="98"/>
      <c r="H206" s="98"/>
      <c r="I206" s="25">
        <v>1</v>
      </c>
      <c r="J206" s="26">
        <v>2</v>
      </c>
      <c r="K206" s="85">
        <v>42156</v>
      </c>
      <c r="L206" s="250"/>
      <c r="M206" s="253"/>
      <c r="U206" s="218">
        <v>58</v>
      </c>
      <c r="V206" s="19" t="s">
        <v>244</v>
      </c>
      <c r="W206" s="19"/>
      <c r="X206" s="241"/>
    </row>
    <row r="207" spans="1:24" ht="30" x14ac:dyDescent="0.25">
      <c r="A207" s="224" t="s">
        <v>137</v>
      </c>
      <c r="B207" s="160" t="s">
        <v>278</v>
      </c>
      <c r="C207" s="160" t="s">
        <v>159</v>
      </c>
      <c r="D207" s="160" t="s">
        <v>261</v>
      </c>
      <c r="E207" s="47" t="s">
        <v>37</v>
      </c>
      <c r="F207" s="126"/>
      <c r="G207" s="97"/>
      <c r="H207" s="97"/>
      <c r="I207" s="26">
        <v>2</v>
      </c>
      <c r="J207" s="26">
        <v>3</v>
      </c>
      <c r="K207" s="85">
        <v>42156</v>
      </c>
      <c r="L207" s="250"/>
      <c r="M207" s="253"/>
      <c r="U207" s="218">
        <v>59</v>
      </c>
      <c r="V207" s="19" t="s">
        <v>244</v>
      </c>
      <c r="W207" s="19"/>
      <c r="X207" s="241"/>
    </row>
    <row r="208" spans="1:24" ht="45.75" thickBot="1" x14ac:dyDescent="0.3">
      <c r="A208" s="225" t="s">
        <v>137</v>
      </c>
      <c r="B208" s="163" t="s">
        <v>278</v>
      </c>
      <c r="C208" s="163" t="s">
        <v>159</v>
      </c>
      <c r="D208" s="163" t="s">
        <v>262</v>
      </c>
      <c r="E208" s="164" t="s">
        <v>38</v>
      </c>
      <c r="F208" s="128"/>
      <c r="G208" s="129"/>
      <c r="H208" s="129"/>
      <c r="I208" s="31">
        <v>2</v>
      </c>
      <c r="J208" s="31">
        <v>2</v>
      </c>
      <c r="K208" s="86">
        <v>42156</v>
      </c>
      <c r="L208" s="251"/>
      <c r="M208" s="254"/>
      <c r="U208" s="218">
        <v>60</v>
      </c>
      <c r="V208" s="19" t="s">
        <v>244</v>
      </c>
      <c r="W208" s="19"/>
      <c r="X208" s="241"/>
    </row>
    <row r="209" spans="1:24" ht="30.75" thickTop="1" x14ac:dyDescent="0.25">
      <c r="A209" s="226" t="s">
        <v>137</v>
      </c>
      <c r="B209" s="165" t="s">
        <v>278</v>
      </c>
      <c r="C209" s="165" t="s">
        <v>160</v>
      </c>
      <c r="D209" s="165" t="s">
        <v>279</v>
      </c>
      <c r="E209" s="166" t="s">
        <v>348</v>
      </c>
      <c r="F209" s="130"/>
      <c r="G209" s="130"/>
      <c r="H209" s="130"/>
      <c r="I209" s="32">
        <v>2</v>
      </c>
      <c r="J209" s="32">
        <v>2</v>
      </c>
      <c r="K209" s="203">
        <v>42156</v>
      </c>
      <c r="L209" s="249" t="str">
        <f>CONCATENATE("Level"," ",MIN(I209:I220))</f>
        <v>Level 1</v>
      </c>
      <c r="M209" s="252" t="str">
        <f>CONCATENATE("Level"," ",MIN(J209:J220))</f>
        <v>Level 2</v>
      </c>
      <c r="U209" s="218">
        <v>11</v>
      </c>
      <c r="V209" s="19" t="s">
        <v>244</v>
      </c>
      <c r="W209" s="19"/>
      <c r="X209" s="241"/>
    </row>
    <row r="210" spans="1:24" ht="30" x14ac:dyDescent="0.25">
      <c r="A210" s="228" t="s">
        <v>137</v>
      </c>
      <c r="B210" s="199" t="s">
        <v>278</v>
      </c>
      <c r="C210" s="199" t="s">
        <v>160</v>
      </c>
      <c r="D210" s="199" t="s">
        <v>250</v>
      </c>
      <c r="E210" s="200" t="s">
        <v>348</v>
      </c>
      <c r="F210" s="201"/>
      <c r="G210" s="201"/>
      <c r="H210" s="201"/>
      <c r="I210" s="202">
        <v>1</v>
      </c>
      <c r="J210" s="202">
        <v>2</v>
      </c>
      <c r="K210" s="88">
        <v>42156</v>
      </c>
      <c r="L210" s="250"/>
      <c r="M210" s="253"/>
      <c r="U210" s="218">
        <v>1</v>
      </c>
      <c r="V210" s="19" t="s">
        <v>244</v>
      </c>
      <c r="W210" s="19"/>
      <c r="X210" s="241"/>
    </row>
    <row r="211" spans="1:24" ht="45" x14ac:dyDescent="0.25">
      <c r="A211" s="228" t="s">
        <v>137</v>
      </c>
      <c r="B211" s="199" t="s">
        <v>278</v>
      </c>
      <c r="C211" s="199" t="s">
        <v>160</v>
      </c>
      <c r="D211" s="199" t="s">
        <v>283</v>
      </c>
      <c r="E211" s="200" t="s">
        <v>348</v>
      </c>
      <c r="F211" s="201"/>
      <c r="G211" s="201"/>
      <c r="H211" s="201"/>
      <c r="I211" s="202">
        <v>2</v>
      </c>
      <c r="J211" s="202">
        <v>3</v>
      </c>
      <c r="K211" s="88">
        <v>42156</v>
      </c>
      <c r="L211" s="250"/>
      <c r="M211" s="253"/>
      <c r="U211" s="218">
        <v>15</v>
      </c>
      <c r="V211" s="19" t="s">
        <v>244</v>
      </c>
      <c r="W211" s="19"/>
      <c r="X211" s="241"/>
    </row>
    <row r="212" spans="1:24" ht="45" x14ac:dyDescent="0.25">
      <c r="A212" s="228" t="s">
        <v>137</v>
      </c>
      <c r="B212" s="199" t="s">
        <v>278</v>
      </c>
      <c r="C212" s="199" t="s">
        <v>160</v>
      </c>
      <c r="D212" s="199" t="s">
        <v>266</v>
      </c>
      <c r="E212" s="200" t="s">
        <v>348</v>
      </c>
      <c r="F212" s="201"/>
      <c r="G212" s="201"/>
      <c r="H212" s="201"/>
      <c r="I212" s="202">
        <v>2</v>
      </c>
      <c r="J212" s="202">
        <v>2</v>
      </c>
      <c r="K212" s="88">
        <v>42156</v>
      </c>
      <c r="L212" s="250"/>
      <c r="M212" s="253"/>
      <c r="U212" s="218">
        <v>2</v>
      </c>
      <c r="V212" s="19" t="s">
        <v>244</v>
      </c>
      <c r="W212" s="19"/>
      <c r="X212" s="241"/>
    </row>
    <row r="213" spans="1:24" ht="75" x14ac:dyDescent="0.25">
      <c r="A213" s="228" t="s">
        <v>137</v>
      </c>
      <c r="B213" s="199" t="s">
        <v>278</v>
      </c>
      <c r="C213" s="199" t="s">
        <v>160</v>
      </c>
      <c r="D213" s="199" t="s">
        <v>252</v>
      </c>
      <c r="E213" s="200" t="s">
        <v>348</v>
      </c>
      <c r="F213" s="201"/>
      <c r="G213" s="201"/>
      <c r="H213" s="201"/>
      <c r="I213" s="202">
        <v>1</v>
      </c>
      <c r="J213" s="202">
        <v>2</v>
      </c>
      <c r="K213" s="88">
        <v>42156</v>
      </c>
      <c r="L213" s="250"/>
      <c r="M213" s="253"/>
      <c r="U213" s="218">
        <v>3</v>
      </c>
      <c r="V213" s="19" t="s">
        <v>244</v>
      </c>
      <c r="W213" s="19"/>
      <c r="X213" s="241"/>
    </row>
    <row r="214" spans="1:24" ht="30" x14ac:dyDescent="0.25">
      <c r="A214" s="228" t="s">
        <v>137</v>
      </c>
      <c r="B214" s="199" t="s">
        <v>278</v>
      </c>
      <c r="C214" s="199" t="s">
        <v>160</v>
      </c>
      <c r="D214" s="199" t="s">
        <v>259</v>
      </c>
      <c r="E214" s="200" t="s">
        <v>0</v>
      </c>
      <c r="F214" s="201"/>
      <c r="G214" s="201"/>
      <c r="H214" s="201"/>
      <c r="I214" s="202">
        <v>1</v>
      </c>
      <c r="J214" s="202">
        <v>2</v>
      </c>
      <c r="K214" s="88">
        <v>42156</v>
      </c>
      <c r="L214" s="250"/>
      <c r="M214" s="253"/>
      <c r="U214" s="218">
        <v>55</v>
      </c>
      <c r="V214" s="19" t="s">
        <v>244</v>
      </c>
      <c r="W214" s="19"/>
      <c r="X214" s="241"/>
    </row>
    <row r="215" spans="1:24" ht="45" x14ac:dyDescent="0.25">
      <c r="A215" s="227" t="s">
        <v>137</v>
      </c>
      <c r="B215" s="167" t="s">
        <v>278</v>
      </c>
      <c r="C215" s="167" t="s">
        <v>160</v>
      </c>
      <c r="D215" s="167" t="s">
        <v>247</v>
      </c>
      <c r="E215" s="50" t="s">
        <v>34</v>
      </c>
      <c r="F215" s="131"/>
      <c r="G215" s="92"/>
      <c r="H215" s="92"/>
      <c r="I215" s="6">
        <v>2</v>
      </c>
      <c r="J215" s="5">
        <v>2</v>
      </c>
      <c r="K215" s="88">
        <v>42156</v>
      </c>
      <c r="L215" s="250"/>
      <c r="M215" s="253"/>
      <c r="U215" s="218">
        <v>56</v>
      </c>
      <c r="V215" s="19" t="s">
        <v>244</v>
      </c>
      <c r="W215" s="19"/>
      <c r="X215" s="241"/>
    </row>
    <row r="216" spans="1:24" ht="45" x14ac:dyDescent="0.25">
      <c r="A216" s="227" t="s">
        <v>137</v>
      </c>
      <c r="B216" s="167" t="s">
        <v>278</v>
      </c>
      <c r="C216" s="167" t="s">
        <v>160</v>
      </c>
      <c r="D216" s="167" t="s">
        <v>248</v>
      </c>
      <c r="E216" s="50" t="s">
        <v>34</v>
      </c>
      <c r="F216" s="131"/>
      <c r="G216" s="92"/>
      <c r="H216" s="92"/>
      <c r="I216" s="6">
        <v>2</v>
      </c>
      <c r="J216" s="5">
        <v>2</v>
      </c>
      <c r="K216" s="88">
        <v>42156</v>
      </c>
      <c r="L216" s="250"/>
      <c r="M216" s="253"/>
      <c r="U216" s="218">
        <v>56</v>
      </c>
      <c r="V216" s="19" t="s">
        <v>244</v>
      </c>
      <c r="W216" s="19"/>
      <c r="X216" s="241"/>
    </row>
    <row r="217" spans="1:24" ht="45" x14ac:dyDescent="0.25">
      <c r="A217" s="227" t="s">
        <v>137</v>
      </c>
      <c r="B217" s="167" t="s">
        <v>278</v>
      </c>
      <c r="C217" s="167" t="s">
        <v>160</v>
      </c>
      <c r="D217" s="167" t="s">
        <v>300</v>
      </c>
      <c r="E217" s="168" t="s">
        <v>35</v>
      </c>
      <c r="F217" s="93"/>
      <c r="G217" s="93"/>
      <c r="H217" s="93"/>
      <c r="I217" s="6">
        <v>1</v>
      </c>
      <c r="J217" s="5">
        <v>2</v>
      </c>
      <c r="K217" s="88">
        <v>42156</v>
      </c>
      <c r="L217" s="250"/>
      <c r="M217" s="253"/>
      <c r="U217" s="218">
        <v>57</v>
      </c>
      <c r="V217" s="19" t="s">
        <v>244</v>
      </c>
      <c r="W217" s="19"/>
      <c r="X217" s="241"/>
    </row>
    <row r="218" spans="1:24" ht="30" x14ac:dyDescent="0.25">
      <c r="A218" s="227" t="s">
        <v>137</v>
      </c>
      <c r="B218" s="167" t="s">
        <v>278</v>
      </c>
      <c r="C218" s="167" t="s">
        <v>160</v>
      </c>
      <c r="D218" s="167" t="s">
        <v>249</v>
      </c>
      <c r="E218" s="169" t="s">
        <v>36</v>
      </c>
      <c r="F218" s="132"/>
      <c r="G218" s="91"/>
      <c r="H218" s="91"/>
      <c r="I218" s="6">
        <v>2</v>
      </c>
      <c r="J218" s="5">
        <v>2</v>
      </c>
      <c r="K218" s="88">
        <v>42156</v>
      </c>
      <c r="L218" s="250"/>
      <c r="M218" s="253"/>
      <c r="U218" s="218">
        <v>58</v>
      </c>
      <c r="V218" s="19" t="s">
        <v>244</v>
      </c>
      <c r="W218" s="19"/>
      <c r="X218" s="241"/>
    </row>
    <row r="219" spans="1:24" ht="30" x14ac:dyDescent="0.25">
      <c r="A219" s="227" t="s">
        <v>137</v>
      </c>
      <c r="B219" s="167" t="s">
        <v>278</v>
      </c>
      <c r="C219" s="167" t="s">
        <v>160</v>
      </c>
      <c r="D219" s="167" t="s">
        <v>261</v>
      </c>
      <c r="E219" s="50" t="s">
        <v>37</v>
      </c>
      <c r="F219" s="131"/>
      <c r="G219" s="92"/>
      <c r="H219" s="92"/>
      <c r="I219" s="5">
        <v>2</v>
      </c>
      <c r="J219" s="5">
        <v>2</v>
      </c>
      <c r="K219" s="88">
        <v>42156</v>
      </c>
      <c r="L219" s="250"/>
      <c r="M219" s="253"/>
      <c r="U219" s="218">
        <v>59</v>
      </c>
      <c r="V219" s="19" t="s">
        <v>244</v>
      </c>
      <c r="W219" s="19"/>
      <c r="X219" s="241"/>
    </row>
    <row r="220" spans="1:24" ht="45.75" thickBot="1" x14ac:dyDescent="0.3">
      <c r="A220" s="229" t="s">
        <v>137</v>
      </c>
      <c r="B220" s="170" t="s">
        <v>278</v>
      </c>
      <c r="C220" s="170" t="s">
        <v>160</v>
      </c>
      <c r="D220" s="170" t="s">
        <v>262</v>
      </c>
      <c r="E220" s="171" t="s">
        <v>38</v>
      </c>
      <c r="F220" s="133"/>
      <c r="G220" s="101"/>
      <c r="H220" s="101"/>
      <c r="I220" s="33">
        <v>2</v>
      </c>
      <c r="J220" s="33">
        <v>2</v>
      </c>
      <c r="K220" s="89">
        <v>42156</v>
      </c>
      <c r="L220" s="251"/>
      <c r="M220" s="254"/>
      <c r="U220" s="218">
        <v>60</v>
      </c>
      <c r="V220" s="19" t="s">
        <v>244</v>
      </c>
      <c r="W220" s="19"/>
      <c r="X220" s="241"/>
    </row>
    <row r="221" spans="1:24" ht="30.75" thickTop="1" x14ac:dyDescent="0.25">
      <c r="A221" s="231" t="s">
        <v>137</v>
      </c>
      <c r="B221" s="158" t="s">
        <v>278</v>
      </c>
      <c r="C221" s="158" t="s">
        <v>161</v>
      </c>
      <c r="D221" s="158" t="s">
        <v>279</v>
      </c>
      <c r="E221" s="159" t="s">
        <v>348</v>
      </c>
      <c r="F221" s="63"/>
      <c r="G221" s="63"/>
      <c r="H221" s="63"/>
      <c r="I221" s="30">
        <v>1</v>
      </c>
      <c r="J221" s="30">
        <v>2</v>
      </c>
      <c r="K221" s="233">
        <v>42156</v>
      </c>
      <c r="L221" s="249" t="str">
        <f t="shared" ref="L221:M221" si="15">CONCATENATE("Level"," ",MIN(I221:I232))</f>
        <v>Level 1</v>
      </c>
      <c r="M221" s="252" t="str">
        <f t="shared" si="15"/>
        <v>Level 2</v>
      </c>
      <c r="U221" s="218">
        <v>11</v>
      </c>
      <c r="V221" s="19" t="s">
        <v>244</v>
      </c>
      <c r="W221" s="19"/>
      <c r="X221" s="241"/>
    </row>
    <row r="222" spans="1:24" ht="30" x14ac:dyDescent="0.25">
      <c r="A222" s="230" t="s">
        <v>137</v>
      </c>
      <c r="B222" s="190" t="s">
        <v>278</v>
      </c>
      <c r="C222" s="190" t="s">
        <v>161</v>
      </c>
      <c r="D222" s="190" t="s">
        <v>250</v>
      </c>
      <c r="E222" s="191" t="s">
        <v>348</v>
      </c>
      <c r="F222" s="192"/>
      <c r="G222" s="192"/>
      <c r="H222" s="192"/>
      <c r="I222" s="193">
        <v>1</v>
      </c>
      <c r="J222" s="193">
        <v>2</v>
      </c>
      <c r="K222" s="85">
        <v>42156</v>
      </c>
      <c r="L222" s="250"/>
      <c r="M222" s="253"/>
      <c r="U222" s="218">
        <v>1</v>
      </c>
      <c r="V222" s="19" t="s">
        <v>244</v>
      </c>
      <c r="W222" s="19"/>
      <c r="X222" s="241"/>
    </row>
    <row r="223" spans="1:24" ht="45" x14ac:dyDescent="0.25">
      <c r="A223" s="230" t="s">
        <v>137</v>
      </c>
      <c r="B223" s="190" t="s">
        <v>278</v>
      </c>
      <c r="C223" s="190" t="s">
        <v>161</v>
      </c>
      <c r="D223" s="190" t="s">
        <v>283</v>
      </c>
      <c r="E223" s="191" t="s">
        <v>348</v>
      </c>
      <c r="F223" s="192"/>
      <c r="G223" s="192"/>
      <c r="H223" s="192"/>
      <c r="I223" s="193">
        <v>2</v>
      </c>
      <c r="J223" s="193">
        <v>2</v>
      </c>
      <c r="K223" s="85">
        <v>42156</v>
      </c>
      <c r="L223" s="250"/>
      <c r="M223" s="253"/>
      <c r="U223" s="218">
        <v>15</v>
      </c>
      <c r="V223" s="19" t="s">
        <v>244</v>
      </c>
      <c r="W223" s="19"/>
      <c r="X223" s="241"/>
    </row>
    <row r="224" spans="1:24" ht="45" x14ac:dyDescent="0.25">
      <c r="A224" s="230" t="s">
        <v>137</v>
      </c>
      <c r="B224" s="190" t="s">
        <v>278</v>
      </c>
      <c r="C224" s="190" t="s">
        <v>161</v>
      </c>
      <c r="D224" s="190" t="s">
        <v>266</v>
      </c>
      <c r="E224" s="191" t="s">
        <v>348</v>
      </c>
      <c r="F224" s="192"/>
      <c r="G224" s="192"/>
      <c r="H224" s="192"/>
      <c r="I224" s="193">
        <v>2</v>
      </c>
      <c r="J224" s="193">
        <v>2</v>
      </c>
      <c r="K224" s="85">
        <v>42156</v>
      </c>
      <c r="L224" s="250"/>
      <c r="M224" s="253"/>
      <c r="U224" s="218">
        <v>2</v>
      </c>
      <c r="V224" s="19" t="s">
        <v>244</v>
      </c>
      <c r="W224" s="19"/>
      <c r="X224" s="241"/>
    </row>
    <row r="225" spans="1:24" ht="75" x14ac:dyDescent="0.25">
      <c r="A225" s="230" t="s">
        <v>137</v>
      </c>
      <c r="B225" s="190" t="s">
        <v>278</v>
      </c>
      <c r="C225" s="190" t="s">
        <v>161</v>
      </c>
      <c r="D225" s="190" t="s">
        <v>252</v>
      </c>
      <c r="E225" s="191" t="s">
        <v>348</v>
      </c>
      <c r="F225" s="192"/>
      <c r="G225" s="192"/>
      <c r="H225" s="192"/>
      <c r="I225" s="193">
        <v>1</v>
      </c>
      <c r="J225" s="193">
        <v>2</v>
      </c>
      <c r="K225" s="85">
        <v>42156</v>
      </c>
      <c r="L225" s="250"/>
      <c r="M225" s="253"/>
      <c r="U225" s="218">
        <v>3</v>
      </c>
      <c r="V225" s="19" t="s">
        <v>244</v>
      </c>
      <c r="W225" s="19"/>
      <c r="X225" s="241"/>
    </row>
    <row r="226" spans="1:24" ht="30" x14ac:dyDescent="0.25">
      <c r="A226" s="230" t="s">
        <v>137</v>
      </c>
      <c r="B226" s="190" t="s">
        <v>278</v>
      </c>
      <c r="C226" s="190" t="s">
        <v>161</v>
      </c>
      <c r="D226" s="190" t="s">
        <v>263</v>
      </c>
      <c r="E226" s="191" t="s">
        <v>0</v>
      </c>
      <c r="F226" s="192"/>
      <c r="G226" s="192"/>
      <c r="H226" s="192"/>
      <c r="I226" s="193">
        <v>2</v>
      </c>
      <c r="J226" s="193">
        <v>2</v>
      </c>
      <c r="K226" s="85">
        <v>42156</v>
      </c>
      <c r="L226" s="250"/>
      <c r="M226" s="253"/>
      <c r="U226" s="218">
        <v>55</v>
      </c>
      <c r="V226" s="19" t="s">
        <v>244</v>
      </c>
      <c r="W226" s="19"/>
      <c r="X226" s="241"/>
    </row>
    <row r="227" spans="1:24" ht="45" x14ac:dyDescent="0.25">
      <c r="A227" s="224" t="s">
        <v>137</v>
      </c>
      <c r="B227" s="160" t="s">
        <v>278</v>
      </c>
      <c r="C227" s="160" t="s">
        <v>161</v>
      </c>
      <c r="D227" s="160" t="s">
        <v>247</v>
      </c>
      <c r="E227" s="47" t="s">
        <v>34</v>
      </c>
      <c r="F227" s="126"/>
      <c r="G227" s="97"/>
      <c r="H227" s="97"/>
      <c r="I227" s="25">
        <v>2</v>
      </c>
      <c r="J227" s="26">
        <v>2</v>
      </c>
      <c r="K227" s="85">
        <v>42156</v>
      </c>
      <c r="L227" s="250"/>
      <c r="M227" s="253"/>
      <c r="U227" s="218">
        <v>56</v>
      </c>
      <c r="V227" s="19" t="s">
        <v>244</v>
      </c>
      <c r="W227" s="19"/>
      <c r="X227" s="241"/>
    </row>
    <row r="228" spans="1:24" ht="45" x14ac:dyDescent="0.25">
      <c r="A228" s="224" t="s">
        <v>137</v>
      </c>
      <c r="B228" s="160" t="s">
        <v>278</v>
      </c>
      <c r="C228" s="160" t="s">
        <v>161</v>
      </c>
      <c r="D228" s="160" t="s">
        <v>248</v>
      </c>
      <c r="E228" s="47" t="s">
        <v>34</v>
      </c>
      <c r="F228" s="126"/>
      <c r="G228" s="97"/>
      <c r="H228" s="97"/>
      <c r="I228" s="25">
        <v>2</v>
      </c>
      <c r="J228" s="26">
        <v>3</v>
      </c>
      <c r="K228" s="85">
        <v>42156</v>
      </c>
      <c r="L228" s="250"/>
      <c r="M228" s="253"/>
      <c r="U228" s="218">
        <v>56</v>
      </c>
      <c r="V228" s="19" t="s">
        <v>244</v>
      </c>
      <c r="W228" s="19"/>
      <c r="X228" s="241"/>
    </row>
    <row r="229" spans="1:24" ht="45" x14ac:dyDescent="0.25">
      <c r="A229" s="224" t="s">
        <v>137</v>
      </c>
      <c r="B229" s="160" t="s">
        <v>278</v>
      </c>
      <c r="C229" s="160" t="s">
        <v>161</v>
      </c>
      <c r="D229" s="160" t="s">
        <v>300</v>
      </c>
      <c r="E229" s="161" t="s">
        <v>35</v>
      </c>
      <c r="F229" s="96"/>
      <c r="G229" s="96"/>
      <c r="H229" s="96"/>
      <c r="I229" s="25">
        <v>1</v>
      </c>
      <c r="J229" s="26">
        <v>2</v>
      </c>
      <c r="K229" s="85">
        <v>42156</v>
      </c>
      <c r="L229" s="250"/>
      <c r="M229" s="253"/>
      <c r="U229" s="218">
        <v>57</v>
      </c>
      <c r="V229" s="19" t="s">
        <v>244</v>
      </c>
      <c r="W229" s="19"/>
      <c r="X229" s="241"/>
    </row>
    <row r="230" spans="1:24" ht="30" x14ac:dyDescent="0.25">
      <c r="A230" s="224" t="s">
        <v>137</v>
      </c>
      <c r="B230" s="160" t="s">
        <v>278</v>
      </c>
      <c r="C230" s="160" t="s">
        <v>161</v>
      </c>
      <c r="D230" s="160" t="s">
        <v>249</v>
      </c>
      <c r="E230" s="162" t="s">
        <v>36</v>
      </c>
      <c r="F230" s="127"/>
      <c r="G230" s="98"/>
      <c r="H230" s="98"/>
      <c r="I230" s="25">
        <v>2</v>
      </c>
      <c r="J230" s="26">
        <v>3</v>
      </c>
      <c r="K230" s="85">
        <v>42156</v>
      </c>
      <c r="L230" s="250"/>
      <c r="M230" s="253"/>
      <c r="U230" s="218">
        <v>58</v>
      </c>
      <c r="V230" s="19" t="s">
        <v>244</v>
      </c>
      <c r="W230" s="19"/>
      <c r="X230" s="241"/>
    </row>
    <row r="231" spans="1:24" ht="30" x14ac:dyDescent="0.25">
      <c r="A231" s="224" t="s">
        <v>137</v>
      </c>
      <c r="B231" s="160" t="s">
        <v>278</v>
      </c>
      <c r="C231" s="160" t="s">
        <v>161</v>
      </c>
      <c r="D231" s="160" t="s">
        <v>261</v>
      </c>
      <c r="E231" s="47" t="s">
        <v>37</v>
      </c>
      <c r="F231" s="126"/>
      <c r="G231" s="97"/>
      <c r="H231" s="97"/>
      <c r="I231" s="26">
        <v>2</v>
      </c>
      <c r="J231" s="26">
        <v>3</v>
      </c>
      <c r="K231" s="85">
        <v>42156</v>
      </c>
      <c r="L231" s="250"/>
      <c r="M231" s="253"/>
      <c r="U231" s="218">
        <v>59</v>
      </c>
      <c r="V231" s="19" t="s">
        <v>244</v>
      </c>
      <c r="W231" s="19"/>
      <c r="X231" s="241"/>
    </row>
    <row r="232" spans="1:24" ht="45.75" thickBot="1" x14ac:dyDescent="0.3">
      <c r="A232" s="225" t="s">
        <v>137</v>
      </c>
      <c r="B232" s="163" t="s">
        <v>278</v>
      </c>
      <c r="C232" s="163" t="s">
        <v>161</v>
      </c>
      <c r="D232" s="163" t="s">
        <v>262</v>
      </c>
      <c r="E232" s="164" t="s">
        <v>38</v>
      </c>
      <c r="F232" s="128"/>
      <c r="G232" s="129"/>
      <c r="H232" s="129"/>
      <c r="I232" s="31">
        <v>2</v>
      </c>
      <c r="J232" s="31">
        <v>2</v>
      </c>
      <c r="K232" s="86">
        <v>42156</v>
      </c>
      <c r="L232" s="251"/>
      <c r="M232" s="254"/>
      <c r="U232" s="218">
        <v>60</v>
      </c>
      <c r="V232" s="19" t="s">
        <v>244</v>
      </c>
      <c r="W232" s="19"/>
      <c r="X232" s="241"/>
    </row>
    <row r="233" spans="1:24" ht="30.75" thickTop="1" x14ac:dyDescent="0.25">
      <c r="A233" s="226" t="s">
        <v>137</v>
      </c>
      <c r="B233" s="165" t="s">
        <v>274</v>
      </c>
      <c r="C233" s="165" t="s">
        <v>162</v>
      </c>
      <c r="D233" s="165" t="s">
        <v>250</v>
      </c>
      <c r="E233" s="166" t="s">
        <v>348</v>
      </c>
      <c r="F233" s="130"/>
      <c r="G233" s="130"/>
      <c r="H233" s="130"/>
      <c r="I233" s="32" t="s">
        <v>210</v>
      </c>
      <c r="J233" s="32" t="s">
        <v>210</v>
      </c>
      <c r="K233" s="203">
        <v>42156</v>
      </c>
      <c r="L233" s="249" t="str">
        <f t="shared" ref="L233:M233" si="16">CONCATENATE("Level"," ",MIN(I233:I245))</f>
        <v>Level 0</v>
      </c>
      <c r="M233" s="252" t="str">
        <f t="shared" si="16"/>
        <v>Level 0</v>
      </c>
      <c r="U233" s="218">
        <v>1</v>
      </c>
      <c r="V233" s="19" t="s">
        <v>244</v>
      </c>
      <c r="W233" s="19"/>
      <c r="X233" s="241"/>
    </row>
    <row r="234" spans="1:24" ht="45" x14ac:dyDescent="0.25">
      <c r="A234" s="228" t="s">
        <v>137</v>
      </c>
      <c r="B234" s="199" t="s">
        <v>274</v>
      </c>
      <c r="C234" s="199" t="s">
        <v>162</v>
      </c>
      <c r="D234" s="199" t="s">
        <v>275</v>
      </c>
      <c r="E234" s="200" t="s">
        <v>348</v>
      </c>
      <c r="F234" s="201"/>
      <c r="G234" s="201"/>
      <c r="H234" s="201"/>
      <c r="I234" s="202" t="s">
        <v>210</v>
      </c>
      <c r="J234" s="202" t="s">
        <v>210</v>
      </c>
      <c r="K234" s="88">
        <v>42156</v>
      </c>
      <c r="L234" s="250"/>
      <c r="M234" s="253"/>
      <c r="U234" s="218">
        <v>16</v>
      </c>
      <c r="V234" s="19" t="s">
        <v>244</v>
      </c>
      <c r="W234" s="19"/>
      <c r="X234" s="241"/>
    </row>
    <row r="235" spans="1:24" ht="45" x14ac:dyDescent="0.25">
      <c r="A235" s="228" t="s">
        <v>137</v>
      </c>
      <c r="B235" s="199" t="s">
        <v>274</v>
      </c>
      <c r="C235" s="199" t="s">
        <v>162</v>
      </c>
      <c r="D235" s="199" t="s">
        <v>276</v>
      </c>
      <c r="E235" s="200" t="s">
        <v>348</v>
      </c>
      <c r="F235" s="201"/>
      <c r="G235" s="201"/>
      <c r="H235" s="201"/>
      <c r="I235" s="202" t="s">
        <v>210</v>
      </c>
      <c r="J235" s="202" t="s">
        <v>210</v>
      </c>
      <c r="K235" s="88">
        <v>42156</v>
      </c>
      <c r="L235" s="250"/>
      <c r="M235" s="253"/>
      <c r="U235" s="218">
        <v>17</v>
      </c>
      <c r="V235" s="19" t="s">
        <v>244</v>
      </c>
      <c r="W235" s="19"/>
      <c r="X235" s="241"/>
    </row>
    <row r="236" spans="1:24" ht="45" x14ac:dyDescent="0.25">
      <c r="A236" s="228" t="s">
        <v>137</v>
      </c>
      <c r="B236" s="199" t="s">
        <v>274</v>
      </c>
      <c r="C236" s="199" t="s">
        <v>162</v>
      </c>
      <c r="D236" s="199" t="s">
        <v>277</v>
      </c>
      <c r="E236" s="200" t="s">
        <v>348</v>
      </c>
      <c r="F236" s="201"/>
      <c r="G236" s="201"/>
      <c r="H236" s="201"/>
      <c r="I236" s="202" t="s">
        <v>210</v>
      </c>
      <c r="J236" s="202" t="s">
        <v>210</v>
      </c>
      <c r="K236" s="88">
        <v>42156</v>
      </c>
      <c r="L236" s="250"/>
      <c r="M236" s="253"/>
      <c r="U236" s="218">
        <v>18</v>
      </c>
      <c r="V236" s="19" t="s">
        <v>244</v>
      </c>
      <c r="W236" s="19"/>
      <c r="X236" s="241"/>
    </row>
    <row r="237" spans="1:24" ht="45" x14ac:dyDescent="0.25">
      <c r="A237" s="228" t="s">
        <v>137</v>
      </c>
      <c r="B237" s="199" t="s">
        <v>274</v>
      </c>
      <c r="C237" s="199" t="s">
        <v>162</v>
      </c>
      <c r="D237" s="199" t="s">
        <v>266</v>
      </c>
      <c r="E237" s="200" t="s">
        <v>348</v>
      </c>
      <c r="F237" s="201"/>
      <c r="G237" s="201"/>
      <c r="H237" s="201"/>
      <c r="I237" s="202" t="s">
        <v>210</v>
      </c>
      <c r="J237" s="202" t="s">
        <v>210</v>
      </c>
      <c r="K237" s="88">
        <v>42156</v>
      </c>
      <c r="L237" s="250"/>
      <c r="M237" s="253"/>
      <c r="U237" s="218">
        <v>2</v>
      </c>
      <c r="V237" s="19" t="s">
        <v>244</v>
      </c>
      <c r="W237" s="19"/>
      <c r="X237" s="241"/>
    </row>
    <row r="238" spans="1:24" ht="75" x14ac:dyDescent="0.25">
      <c r="A238" s="228" t="s">
        <v>137</v>
      </c>
      <c r="B238" s="199" t="s">
        <v>274</v>
      </c>
      <c r="C238" s="199" t="s">
        <v>162</v>
      </c>
      <c r="D238" s="199" t="s">
        <v>252</v>
      </c>
      <c r="E238" s="200" t="s">
        <v>348</v>
      </c>
      <c r="F238" s="201"/>
      <c r="G238" s="201"/>
      <c r="H238" s="201"/>
      <c r="I238" s="202" t="s">
        <v>210</v>
      </c>
      <c r="J238" s="202" t="s">
        <v>210</v>
      </c>
      <c r="K238" s="88">
        <v>42156</v>
      </c>
      <c r="L238" s="250"/>
      <c r="M238" s="253"/>
      <c r="U238" s="218">
        <v>3</v>
      </c>
      <c r="V238" s="19" t="s">
        <v>244</v>
      </c>
      <c r="W238" s="19"/>
      <c r="X238" s="241"/>
    </row>
    <row r="239" spans="1:24" ht="30" x14ac:dyDescent="0.25">
      <c r="A239" s="228" t="s">
        <v>137</v>
      </c>
      <c r="B239" s="199" t="s">
        <v>274</v>
      </c>
      <c r="C239" s="199" t="s">
        <v>162</v>
      </c>
      <c r="D239" s="199" t="s">
        <v>263</v>
      </c>
      <c r="E239" s="200" t="s">
        <v>0</v>
      </c>
      <c r="F239" s="201"/>
      <c r="G239" s="201"/>
      <c r="H239" s="201"/>
      <c r="I239" s="202" t="s">
        <v>210</v>
      </c>
      <c r="J239" s="202" t="s">
        <v>210</v>
      </c>
      <c r="K239" s="88">
        <v>42156</v>
      </c>
      <c r="L239" s="250"/>
      <c r="M239" s="253"/>
      <c r="U239" s="218">
        <v>55</v>
      </c>
      <c r="V239" s="19" t="s">
        <v>244</v>
      </c>
      <c r="W239" s="19"/>
      <c r="X239" s="241"/>
    </row>
    <row r="240" spans="1:24" ht="45" x14ac:dyDescent="0.25">
      <c r="A240" s="227" t="s">
        <v>137</v>
      </c>
      <c r="B240" s="167" t="s">
        <v>274</v>
      </c>
      <c r="C240" s="167" t="s">
        <v>162</v>
      </c>
      <c r="D240" s="167" t="s">
        <v>247</v>
      </c>
      <c r="E240" s="50" t="s">
        <v>34</v>
      </c>
      <c r="F240" s="131"/>
      <c r="G240" s="92"/>
      <c r="H240" s="92"/>
      <c r="I240" s="6" t="s">
        <v>210</v>
      </c>
      <c r="J240" s="5" t="s">
        <v>210</v>
      </c>
      <c r="K240" s="88">
        <v>42156</v>
      </c>
      <c r="L240" s="250"/>
      <c r="M240" s="253"/>
      <c r="U240" s="218">
        <v>56</v>
      </c>
      <c r="V240" s="19" t="s">
        <v>244</v>
      </c>
      <c r="W240" s="19"/>
      <c r="X240" s="241"/>
    </row>
    <row r="241" spans="1:24" ht="45" x14ac:dyDescent="0.25">
      <c r="A241" s="227" t="s">
        <v>137</v>
      </c>
      <c r="B241" s="167" t="s">
        <v>274</v>
      </c>
      <c r="C241" s="167" t="s">
        <v>162</v>
      </c>
      <c r="D241" s="167" t="s">
        <v>248</v>
      </c>
      <c r="E241" s="50" t="s">
        <v>34</v>
      </c>
      <c r="F241" s="131"/>
      <c r="G241" s="92"/>
      <c r="H241" s="92"/>
      <c r="I241" s="6" t="s">
        <v>210</v>
      </c>
      <c r="J241" s="5" t="s">
        <v>210</v>
      </c>
      <c r="K241" s="88">
        <v>42156</v>
      </c>
      <c r="L241" s="250"/>
      <c r="M241" s="253"/>
      <c r="U241" s="218">
        <v>56</v>
      </c>
      <c r="V241" s="19" t="s">
        <v>244</v>
      </c>
      <c r="W241" s="19"/>
      <c r="X241" s="241"/>
    </row>
    <row r="242" spans="1:24" ht="45" x14ac:dyDescent="0.25">
      <c r="A242" s="227" t="s">
        <v>137</v>
      </c>
      <c r="B242" s="167" t="s">
        <v>274</v>
      </c>
      <c r="C242" s="167" t="s">
        <v>162</v>
      </c>
      <c r="D242" s="167" t="s">
        <v>260</v>
      </c>
      <c r="E242" s="168" t="s">
        <v>35</v>
      </c>
      <c r="F242" s="93"/>
      <c r="G242" s="93"/>
      <c r="H242" s="93"/>
      <c r="I242" s="6" t="s">
        <v>210</v>
      </c>
      <c r="J242" s="5" t="s">
        <v>210</v>
      </c>
      <c r="K242" s="88">
        <v>42156</v>
      </c>
      <c r="L242" s="250"/>
      <c r="M242" s="253"/>
      <c r="U242" s="218">
        <v>57</v>
      </c>
      <c r="V242" s="19" t="s">
        <v>244</v>
      </c>
      <c r="W242" s="19"/>
      <c r="X242" s="241"/>
    </row>
    <row r="243" spans="1:24" ht="30" x14ac:dyDescent="0.25">
      <c r="A243" s="227" t="s">
        <v>137</v>
      </c>
      <c r="B243" s="167" t="s">
        <v>274</v>
      </c>
      <c r="C243" s="167" t="s">
        <v>162</v>
      </c>
      <c r="D243" s="167" t="s">
        <v>249</v>
      </c>
      <c r="E243" s="169" t="s">
        <v>36</v>
      </c>
      <c r="F243" s="132"/>
      <c r="G243" s="91"/>
      <c r="H243" s="91"/>
      <c r="I243" s="6" t="s">
        <v>210</v>
      </c>
      <c r="J243" s="5" t="s">
        <v>210</v>
      </c>
      <c r="K243" s="88">
        <v>42156</v>
      </c>
      <c r="L243" s="250"/>
      <c r="M243" s="253"/>
      <c r="U243" s="218">
        <v>58</v>
      </c>
      <c r="V243" s="19" t="s">
        <v>244</v>
      </c>
      <c r="W243" s="19"/>
      <c r="X243" s="241"/>
    </row>
    <row r="244" spans="1:24" ht="30" x14ac:dyDescent="0.25">
      <c r="A244" s="227" t="s">
        <v>137</v>
      </c>
      <c r="B244" s="167" t="s">
        <v>274</v>
      </c>
      <c r="C244" s="167" t="s">
        <v>162</v>
      </c>
      <c r="D244" s="167" t="s">
        <v>261</v>
      </c>
      <c r="E244" s="50" t="s">
        <v>37</v>
      </c>
      <c r="F244" s="131"/>
      <c r="G244" s="92"/>
      <c r="H244" s="92"/>
      <c r="I244" s="5" t="s">
        <v>210</v>
      </c>
      <c r="J244" s="5" t="s">
        <v>210</v>
      </c>
      <c r="K244" s="88">
        <v>42156</v>
      </c>
      <c r="L244" s="250"/>
      <c r="M244" s="253"/>
      <c r="U244" s="218">
        <v>59</v>
      </c>
      <c r="V244" s="19" t="s">
        <v>244</v>
      </c>
      <c r="W244" s="19"/>
      <c r="X244" s="241"/>
    </row>
    <row r="245" spans="1:24" ht="45.75" thickBot="1" x14ac:dyDescent="0.3">
      <c r="A245" s="229" t="s">
        <v>137</v>
      </c>
      <c r="B245" s="170" t="s">
        <v>274</v>
      </c>
      <c r="C245" s="170" t="s">
        <v>162</v>
      </c>
      <c r="D245" s="170" t="s">
        <v>262</v>
      </c>
      <c r="E245" s="171" t="s">
        <v>38</v>
      </c>
      <c r="F245" s="133"/>
      <c r="G245" s="101"/>
      <c r="H245" s="101"/>
      <c r="I245" s="33" t="s">
        <v>210</v>
      </c>
      <c r="J245" s="33" t="s">
        <v>210</v>
      </c>
      <c r="K245" s="89">
        <v>42156</v>
      </c>
      <c r="L245" s="251"/>
      <c r="M245" s="254"/>
      <c r="U245" s="218">
        <v>60</v>
      </c>
      <c r="V245" s="19" t="s">
        <v>244</v>
      </c>
      <c r="W245" s="19"/>
      <c r="X245" s="241"/>
    </row>
    <row r="246" spans="1:24" ht="45.75" thickTop="1" x14ac:dyDescent="0.25">
      <c r="A246" s="230" t="s">
        <v>138</v>
      </c>
      <c r="B246" s="190" t="s">
        <v>301</v>
      </c>
      <c r="C246" s="190" t="s">
        <v>302</v>
      </c>
      <c r="D246" s="190" t="s">
        <v>250</v>
      </c>
      <c r="E246" s="191" t="s">
        <v>348</v>
      </c>
      <c r="F246" s="192"/>
      <c r="G246" s="192"/>
      <c r="H246" s="192"/>
      <c r="I246" s="193">
        <v>2</v>
      </c>
      <c r="J246" s="193">
        <v>2</v>
      </c>
      <c r="K246" s="233">
        <v>42156</v>
      </c>
      <c r="L246" s="250"/>
      <c r="M246" s="253"/>
      <c r="U246" s="218">
        <v>1</v>
      </c>
      <c r="V246" s="19" t="s">
        <v>244</v>
      </c>
      <c r="W246" s="19"/>
      <c r="X246" s="241"/>
    </row>
    <row r="247" spans="1:24" ht="45" x14ac:dyDescent="0.25">
      <c r="A247" s="230" t="s">
        <v>138</v>
      </c>
      <c r="B247" s="190" t="s">
        <v>301</v>
      </c>
      <c r="C247" s="190" t="s">
        <v>302</v>
      </c>
      <c r="D247" s="190" t="s">
        <v>266</v>
      </c>
      <c r="E247" s="191" t="s">
        <v>348</v>
      </c>
      <c r="F247" s="192"/>
      <c r="G247" s="192"/>
      <c r="H247" s="192"/>
      <c r="I247" s="193">
        <v>2</v>
      </c>
      <c r="J247" s="193">
        <v>2</v>
      </c>
      <c r="K247" s="85">
        <v>42156</v>
      </c>
      <c r="L247" s="250"/>
      <c r="M247" s="253"/>
      <c r="U247" s="218">
        <v>2</v>
      </c>
      <c r="V247" s="19" t="s">
        <v>244</v>
      </c>
      <c r="W247" s="19"/>
      <c r="X247" s="241"/>
    </row>
    <row r="248" spans="1:24" ht="75" x14ac:dyDescent="0.25">
      <c r="A248" s="230" t="s">
        <v>138</v>
      </c>
      <c r="B248" s="190" t="s">
        <v>301</v>
      </c>
      <c r="C248" s="190" t="s">
        <v>302</v>
      </c>
      <c r="D248" s="190" t="s">
        <v>252</v>
      </c>
      <c r="E248" s="191" t="s">
        <v>348</v>
      </c>
      <c r="F248" s="192"/>
      <c r="G248" s="192"/>
      <c r="H248" s="192"/>
      <c r="I248" s="193">
        <v>2</v>
      </c>
      <c r="J248" s="193">
        <v>3</v>
      </c>
      <c r="K248" s="85">
        <v>42156</v>
      </c>
      <c r="L248" s="250"/>
      <c r="M248" s="253"/>
      <c r="U248" s="218">
        <v>3</v>
      </c>
      <c r="V248" s="19" t="s">
        <v>244</v>
      </c>
      <c r="W248" s="19"/>
      <c r="X248" s="241"/>
    </row>
    <row r="249" spans="1:24" ht="45" x14ac:dyDescent="0.25">
      <c r="A249" s="230" t="s">
        <v>138</v>
      </c>
      <c r="B249" s="190" t="s">
        <v>301</v>
      </c>
      <c r="C249" s="190" t="s">
        <v>302</v>
      </c>
      <c r="D249" s="190" t="s">
        <v>263</v>
      </c>
      <c r="E249" s="191" t="s">
        <v>0</v>
      </c>
      <c r="F249" s="192"/>
      <c r="G249" s="192"/>
      <c r="H249" s="192"/>
      <c r="I249" s="193">
        <v>2</v>
      </c>
      <c r="J249" s="193">
        <v>2</v>
      </c>
      <c r="K249" s="85">
        <v>42156</v>
      </c>
      <c r="L249" s="250"/>
      <c r="M249" s="253"/>
      <c r="U249" s="218">
        <v>55</v>
      </c>
      <c r="V249" s="19" t="s">
        <v>244</v>
      </c>
      <c r="W249" s="19"/>
      <c r="X249" s="241"/>
    </row>
    <row r="250" spans="1:24" ht="45" x14ac:dyDescent="0.25">
      <c r="A250" s="224" t="s">
        <v>138</v>
      </c>
      <c r="B250" s="160" t="s">
        <v>301</v>
      </c>
      <c r="C250" s="160" t="s">
        <v>302</v>
      </c>
      <c r="D250" s="160" t="s">
        <v>247</v>
      </c>
      <c r="E250" s="47" t="s">
        <v>34</v>
      </c>
      <c r="F250" s="126"/>
      <c r="G250" s="97"/>
      <c r="H250" s="97"/>
      <c r="I250" s="25">
        <v>1</v>
      </c>
      <c r="J250" s="26">
        <v>2</v>
      </c>
      <c r="K250" s="85">
        <v>42156</v>
      </c>
      <c r="L250" s="250"/>
      <c r="M250" s="253"/>
      <c r="U250" s="218">
        <v>56</v>
      </c>
      <c r="V250" s="19" t="s">
        <v>244</v>
      </c>
      <c r="W250" s="19"/>
      <c r="X250" s="241"/>
    </row>
    <row r="251" spans="1:24" ht="45" x14ac:dyDescent="0.25">
      <c r="A251" s="224" t="s">
        <v>138</v>
      </c>
      <c r="B251" s="160" t="s">
        <v>301</v>
      </c>
      <c r="C251" s="160" t="s">
        <v>302</v>
      </c>
      <c r="D251" s="160" t="s">
        <v>248</v>
      </c>
      <c r="E251" s="47" t="s">
        <v>34</v>
      </c>
      <c r="F251" s="126"/>
      <c r="G251" s="97"/>
      <c r="H251" s="97"/>
      <c r="I251" s="25">
        <v>2</v>
      </c>
      <c r="J251" s="26">
        <v>2</v>
      </c>
      <c r="K251" s="85">
        <v>42156</v>
      </c>
      <c r="L251" s="250"/>
      <c r="M251" s="253"/>
      <c r="U251" s="218">
        <v>56</v>
      </c>
      <c r="V251" s="19" t="s">
        <v>244</v>
      </c>
      <c r="W251" s="19"/>
      <c r="X251" s="241"/>
    </row>
    <row r="252" spans="1:24" ht="75" x14ac:dyDescent="0.25">
      <c r="A252" s="224" t="s">
        <v>138</v>
      </c>
      <c r="B252" s="160" t="s">
        <v>301</v>
      </c>
      <c r="C252" s="160" t="s">
        <v>302</v>
      </c>
      <c r="D252" s="160" t="s">
        <v>303</v>
      </c>
      <c r="E252" s="161" t="s">
        <v>35</v>
      </c>
      <c r="F252" s="96"/>
      <c r="G252" s="96"/>
      <c r="H252" s="96"/>
      <c r="I252" s="25">
        <v>2</v>
      </c>
      <c r="J252" s="26">
        <v>3</v>
      </c>
      <c r="K252" s="85">
        <v>42156</v>
      </c>
      <c r="L252" s="250"/>
      <c r="M252" s="253"/>
      <c r="U252" s="218">
        <v>57</v>
      </c>
      <c r="V252" s="19" t="s">
        <v>244</v>
      </c>
      <c r="W252" s="19"/>
      <c r="X252" s="241"/>
    </row>
    <row r="253" spans="1:24" ht="45" x14ac:dyDescent="0.25">
      <c r="A253" s="224" t="s">
        <v>138</v>
      </c>
      <c r="B253" s="160" t="s">
        <v>301</v>
      </c>
      <c r="C253" s="160" t="s">
        <v>302</v>
      </c>
      <c r="D253" s="160" t="s">
        <v>249</v>
      </c>
      <c r="E253" s="162" t="s">
        <v>36</v>
      </c>
      <c r="F253" s="127"/>
      <c r="G253" s="98"/>
      <c r="H253" s="98"/>
      <c r="I253" s="25">
        <v>2</v>
      </c>
      <c r="J253" s="26">
        <v>3</v>
      </c>
      <c r="K253" s="85">
        <v>42156</v>
      </c>
      <c r="L253" s="250"/>
      <c r="M253" s="253"/>
      <c r="U253" s="218">
        <v>58</v>
      </c>
      <c r="V253" s="19" t="s">
        <v>244</v>
      </c>
      <c r="W253" s="19"/>
      <c r="X253" s="241"/>
    </row>
    <row r="254" spans="1:24" ht="45" x14ac:dyDescent="0.25">
      <c r="A254" s="224" t="s">
        <v>138</v>
      </c>
      <c r="B254" s="160" t="s">
        <v>301</v>
      </c>
      <c r="C254" s="160" t="s">
        <v>302</v>
      </c>
      <c r="D254" s="160" t="s">
        <v>261</v>
      </c>
      <c r="E254" s="47" t="s">
        <v>37</v>
      </c>
      <c r="F254" s="126"/>
      <c r="G254" s="97"/>
      <c r="H254" s="97"/>
      <c r="I254" s="26">
        <v>2</v>
      </c>
      <c r="J254" s="26">
        <v>3</v>
      </c>
      <c r="K254" s="85">
        <v>42156</v>
      </c>
      <c r="L254" s="250"/>
      <c r="M254" s="253"/>
      <c r="U254" s="218">
        <v>59</v>
      </c>
      <c r="V254" s="19" t="s">
        <v>244</v>
      </c>
      <c r="W254" s="19"/>
      <c r="X254" s="241"/>
    </row>
    <row r="255" spans="1:24" ht="45.75" thickBot="1" x14ac:dyDescent="0.3">
      <c r="A255" s="225" t="s">
        <v>138</v>
      </c>
      <c r="B255" s="163" t="s">
        <v>301</v>
      </c>
      <c r="C255" s="163" t="s">
        <v>302</v>
      </c>
      <c r="D255" s="163" t="s">
        <v>304</v>
      </c>
      <c r="E255" s="164" t="s">
        <v>38</v>
      </c>
      <c r="F255" s="128"/>
      <c r="G255" s="129"/>
      <c r="H255" s="129"/>
      <c r="I255" s="31">
        <v>2</v>
      </c>
      <c r="J255" s="31">
        <v>2</v>
      </c>
      <c r="K255" s="86">
        <v>42156</v>
      </c>
      <c r="L255" s="250"/>
      <c r="M255" s="253"/>
      <c r="U255" s="218">
        <v>60</v>
      </c>
      <c r="V255" s="19" t="s">
        <v>244</v>
      </c>
      <c r="W255" s="19"/>
      <c r="X255" s="241"/>
    </row>
    <row r="256" spans="1:24" ht="45.75" thickTop="1" x14ac:dyDescent="0.25">
      <c r="A256" s="226" t="s">
        <v>138</v>
      </c>
      <c r="B256" s="165" t="s">
        <v>301</v>
      </c>
      <c r="C256" s="165" t="s">
        <v>306</v>
      </c>
      <c r="D256" s="165" t="s">
        <v>305</v>
      </c>
      <c r="E256" s="166" t="s">
        <v>348</v>
      </c>
      <c r="F256" s="130"/>
      <c r="G256" s="130"/>
      <c r="H256" s="130"/>
      <c r="I256" s="32">
        <v>3</v>
      </c>
      <c r="J256" s="32">
        <v>3</v>
      </c>
      <c r="K256" s="203">
        <v>42156</v>
      </c>
      <c r="L256" s="249" t="str">
        <f>CONCATENATE("Level"," ",MIN(I256:I265))</f>
        <v>Level 2</v>
      </c>
      <c r="M256" s="252" t="str">
        <f>CONCATENATE("Level"," ",MIN(J256:J265))</f>
        <v>Level 3</v>
      </c>
      <c r="U256" s="218">
        <v>1</v>
      </c>
      <c r="V256" s="19" t="s">
        <v>244</v>
      </c>
      <c r="W256" s="19"/>
      <c r="X256" s="241"/>
    </row>
    <row r="257" spans="1:24" ht="45" x14ac:dyDescent="0.25">
      <c r="A257" s="228" t="s">
        <v>138</v>
      </c>
      <c r="B257" s="199" t="s">
        <v>301</v>
      </c>
      <c r="C257" s="199" t="s">
        <v>306</v>
      </c>
      <c r="D257" s="199" t="s">
        <v>266</v>
      </c>
      <c r="E257" s="200" t="s">
        <v>348</v>
      </c>
      <c r="F257" s="201"/>
      <c r="G257" s="201"/>
      <c r="H257" s="201"/>
      <c r="I257" s="202">
        <v>2</v>
      </c>
      <c r="J257" s="202">
        <v>3</v>
      </c>
      <c r="K257" s="88">
        <v>42156</v>
      </c>
      <c r="L257" s="250"/>
      <c r="M257" s="253"/>
      <c r="U257" s="218">
        <v>2</v>
      </c>
      <c r="V257" s="19" t="s">
        <v>244</v>
      </c>
      <c r="W257" s="19"/>
      <c r="X257" s="241"/>
    </row>
    <row r="258" spans="1:24" ht="75" x14ac:dyDescent="0.25">
      <c r="A258" s="228" t="s">
        <v>138</v>
      </c>
      <c r="B258" s="199" t="s">
        <v>301</v>
      </c>
      <c r="C258" s="199" t="s">
        <v>306</v>
      </c>
      <c r="D258" s="199" t="s">
        <v>252</v>
      </c>
      <c r="E258" s="200" t="s">
        <v>348</v>
      </c>
      <c r="F258" s="201"/>
      <c r="G258" s="201"/>
      <c r="H258" s="201"/>
      <c r="I258" s="202">
        <v>2</v>
      </c>
      <c r="J258" s="202">
        <v>3</v>
      </c>
      <c r="K258" s="88">
        <v>42156</v>
      </c>
      <c r="L258" s="250"/>
      <c r="M258" s="253"/>
      <c r="U258" s="218">
        <v>3</v>
      </c>
      <c r="V258" s="19" t="s">
        <v>244</v>
      </c>
      <c r="W258" s="19"/>
      <c r="X258" s="241"/>
    </row>
    <row r="259" spans="1:24" ht="45" x14ac:dyDescent="0.25">
      <c r="A259" s="228" t="s">
        <v>138</v>
      </c>
      <c r="B259" s="199" t="s">
        <v>301</v>
      </c>
      <c r="C259" s="199" t="s">
        <v>306</v>
      </c>
      <c r="D259" s="199" t="s">
        <v>263</v>
      </c>
      <c r="E259" s="200" t="s">
        <v>0</v>
      </c>
      <c r="F259" s="201"/>
      <c r="G259" s="201"/>
      <c r="H259" s="201"/>
      <c r="I259" s="202">
        <v>2</v>
      </c>
      <c r="J259" s="202">
        <v>3</v>
      </c>
      <c r="K259" s="88">
        <v>42156</v>
      </c>
      <c r="L259" s="250"/>
      <c r="M259" s="253"/>
      <c r="U259" s="218">
        <v>55</v>
      </c>
      <c r="V259" s="19" t="s">
        <v>244</v>
      </c>
      <c r="W259" s="19"/>
      <c r="X259" s="241"/>
    </row>
    <row r="260" spans="1:24" ht="45" x14ac:dyDescent="0.25">
      <c r="A260" s="227" t="s">
        <v>138</v>
      </c>
      <c r="B260" s="167" t="s">
        <v>301</v>
      </c>
      <c r="C260" s="167" t="s">
        <v>306</v>
      </c>
      <c r="D260" s="167" t="s">
        <v>247</v>
      </c>
      <c r="E260" s="50" t="s">
        <v>34</v>
      </c>
      <c r="F260" s="131"/>
      <c r="G260" s="92"/>
      <c r="H260" s="92"/>
      <c r="I260" s="6">
        <v>2</v>
      </c>
      <c r="J260" s="5">
        <v>4</v>
      </c>
      <c r="K260" s="88">
        <v>42156</v>
      </c>
      <c r="L260" s="250"/>
      <c r="M260" s="253"/>
      <c r="U260" s="218">
        <v>56</v>
      </c>
      <c r="V260" s="19" t="s">
        <v>244</v>
      </c>
      <c r="W260" s="19"/>
      <c r="X260" s="241"/>
    </row>
    <row r="261" spans="1:24" ht="45" x14ac:dyDescent="0.25">
      <c r="A261" s="227" t="s">
        <v>138</v>
      </c>
      <c r="B261" s="167" t="s">
        <v>301</v>
      </c>
      <c r="C261" s="167" t="s">
        <v>306</v>
      </c>
      <c r="D261" s="167" t="s">
        <v>248</v>
      </c>
      <c r="E261" s="50" t="s">
        <v>34</v>
      </c>
      <c r="F261" s="131"/>
      <c r="G261" s="92"/>
      <c r="H261" s="92"/>
      <c r="I261" s="6">
        <v>2</v>
      </c>
      <c r="J261" s="5">
        <v>3</v>
      </c>
      <c r="K261" s="88">
        <v>42156</v>
      </c>
      <c r="L261" s="250"/>
      <c r="M261" s="253"/>
      <c r="U261" s="218">
        <v>56</v>
      </c>
      <c r="V261" s="19" t="s">
        <v>244</v>
      </c>
      <c r="W261" s="19"/>
      <c r="X261" s="241"/>
    </row>
    <row r="262" spans="1:24" ht="45" x14ac:dyDescent="0.25">
      <c r="A262" s="227" t="s">
        <v>138</v>
      </c>
      <c r="B262" s="167" t="s">
        <v>301</v>
      </c>
      <c r="C262" s="167" t="s">
        <v>306</v>
      </c>
      <c r="D262" s="167" t="s">
        <v>260</v>
      </c>
      <c r="E262" s="168" t="s">
        <v>35</v>
      </c>
      <c r="F262" s="93"/>
      <c r="G262" s="93"/>
      <c r="H262" s="93"/>
      <c r="I262" s="6">
        <v>2</v>
      </c>
      <c r="J262" s="5">
        <v>3</v>
      </c>
      <c r="K262" s="88">
        <v>42156</v>
      </c>
      <c r="L262" s="250"/>
      <c r="M262" s="253"/>
      <c r="U262" s="218">
        <v>57</v>
      </c>
      <c r="V262" s="19" t="s">
        <v>244</v>
      </c>
      <c r="W262" s="19"/>
      <c r="X262" s="241"/>
    </row>
    <row r="263" spans="1:24" ht="45" x14ac:dyDescent="0.25">
      <c r="A263" s="227" t="s">
        <v>138</v>
      </c>
      <c r="B263" s="167" t="s">
        <v>301</v>
      </c>
      <c r="C263" s="167" t="s">
        <v>306</v>
      </c>
      <c r="D263" s="167" t="s">
        <v>249</v>
      </c>
      <c r="E263" s="169" t="s">
        <v>36</v>
      </c>
      <c r="F263" s="132"/>
      <c r="G263" s="91"/>
      <c r="H263" s="91"/>
      <c r="I263" s="6">
        <v>2</v>
      </c>
      <c r="J263" s="5">
        <v>3</v>
      </c>
      <c r="K263" s="88">
        <v>42156</v>
      </c>
      <c r="L263" s="250"/>
      <c r="M263" s="253"/>
      <c r="U263" s="218">
        <v>58</v>
      </c>
      <c r="V263" s="19" t="s">
        <v>244</v>
      </c>
      <c r="W263" s="19"/>
      <c r="X263" s="241"/>
    </row>
    <row r="264" spans="1:24" ht="45" x14ac:dyDescent="0.25">
      <c r="A264" s="227" t="s">
        <v>138</v>
      </c>
      <c r="B264" s="167" t="s">
        <v>301</v>
      </c>
      <c r="C264" s="167" t="s">
        <v>306</v>
      </c>
      <c r="D264" s="167" t="s">
        <v>261</v>
      </c>
      <c r="E264" s="50" t="s">
        <v>37</v>
      </c>
      <c r="F264" s="131"/>
      <c r="G264" s="92"/>
      <c r="H264" s="92"/>
      <c r="I264" s="5">
        <v>2</v>
      </c>
      <c r="J264" s="5">
        <v>3</v>
      </c>
      <c r="K264" s="88">
        <v>42156</v>
      </c>
      <c r="L264" s="250"/>
      <c r="M264" s="253"/>
      <c r="U264" s="218">
        <v>59</v>
      </c>
      <c r="V264" s="19" t="s">
        <v>244</v>
      </c>
      <c r="W264" s="19"/>
      <c r="X264" s="241"/>
    </row>
    <row r="265" spans="1:24" ht="45.75" thickBot="1" x14ac:dyDescent="0.3">
      <c r="A265" s="229" t="s">
        <v>138</v>
      </c>
      <c r="B265" s="170" t="s">
        <v>301</v>
      </c>
      <c r="C265" s="170" t="s">
        <v>306</v>
      </c>
      <c r="D265" s="170" t="s">
        <v>304</v>
      </c>
      <c r="E265" s="171" t="s">
        <v>38</v>
      </c>
      <c r="F265" s="133"/>
      <c r="G265" s="101"/>
      <c r="H265" s="101"/>
      <c r="I265" s="33">
        <v>3</v>
      </c>
      <c r="J265" s="33">
        <v>3</v>
      </c>
      <c r="K265" s="89">
        <v>42156</v>
      </c>
      <c r="L265" s="251"/>
      <c r="M265" s="254"/>
      <c r="U265" s="218">
        <v>60</v>
      </c>
      <c r="V265" s="19" t="s">
        <v>244</v>
      </c>
      <c r="W265" s="19"/>
      <c r="X265" s="241"/>
    </row>
    <row r="266" spans="1:24" ht="45.75" thickTop="1" x14ac:dyDescent="0.25">
      <c r="A266" s="231" t="s">
        <v>138</v>
      </c>
      <c r="B266" s="158" t="s">
        <v>301</v>
      </c>
      <c r="C266" s="158" t="s">
        <v>307</v>
      </c>
      <c r="D266" s="158" t="s">
        <v>305</v>
      </c>
      <c r="E266" s="159" t="s">
        <v>348</v>
      </c>
      <c r="F266" s="63"/>
      <c r="G266" s="63"/>
      <c r="H266" s="63"/>
      <c r="I266" s="30">
        <v>2</v>
      </c>
      <c r="J266" s="30">
        <v>3</v>
      </c>
      <c r="K266" s="233">
        <v>42156</v>
      </c>
      <c r="L266" s="249" t="str">
        <f t="shared" ref="L266:M266" si="17">CONCATENATE("Level"," ",MIN(I266:I275))</f>
        <v>Level 2</v>
      </c>
      <c r="M266" s="252" t="str">
        <f t="shared" si="17"/>
        <v>Level 3</v>
      </c>
      <c r="U266" s="218">
        <v>1</v>
      </c>
      <c r="V266" s="19" t="s">
        <v>244</v>
      </c>
      <c r="W266" s="19"/>
      <c r="X266" s="241"/>
    </row>
    <row r="267" spans="1:24" ht="45" x14ac:dyDescent="0.25">
      <c r="A267" s="230" t="s">
        <v>138</v>
      </c>
      <c r="B267" s="190" t="s">
        <v>301</v>
      </c>
      <c r="C267" s="190" t="s">
        <v>307</v>
      </c>
      <c r="D267" s="190" t="s">
        <v>266</v>
      </c>
      <c r="E267" s="191" t="s">
        <v>348</v>
      </c>
      <c r="F267" s="192"/>
      <c r="G267" s="192"/>
      <c r="H267" s="192"/>
      <c r="I267" s="193">
        <v>2</v>
      </c>
      <c r="J267" s="193">
        <v>3</v>
      </c>
      <c r="K267" s="85">
        <v>42156</v>
      </c>
      <c r="L267" s="250"/>
      <c r="M267" s="253"/>
      <c r="U267" s="218">
        <v>2</v>
      </c>
      <c r="V267" s="19" t="s">
        <v>244</v>
      </c>
      <c r="W267" s="19"/>
      <c r="X267" s="241"/>
    </row>
    <row r="268" spans="1:24" ht="75" x14ac:dyDescent="0.25">
      <c r="A268" s="230" t="s">
        <v>138</v>
      </c>
      <c r="B268" s="190" t="s">
        <v>301</v>
      </c>
      <c r="C268" s="190" t="s">
        <v>307</v>
      </c>
      <c r="D268" s="190" t="s">
        <v>252</v>
      </c>
      <c r="E268" s="191" t="s">
        <v>348</v>
      </c>
      <c r="F268" s="192"/>
      <c r="G268" s="192"/>
      <c r="H268" s="192"/>
      <c r="I268" s="193">
        <v>2</v>
      </c>
      <c r="J268" s="193">
        <v>3</v>
      </c>
      <c r="K268" s="85">
        <v>42156</v>
      </c>
      <c r="L268" s="250"/>
      <c r="M268" s="253"/>
      <c r="U268" s="218">
        <v>3</v>
      </c>
      <c r="V268" s="19" t="s">
        <v>244</v>
      </c>
      <c r="W268" s="19"/>
      <c r="X268" s="241"/>
    </row>
    <row r="269" spans="1:24" ht="45" x14ac:dyDescent="0.25">
      <c r="A269" s="230" t="s">
        <v>138</v>
      </c>
      <c r="B269" s="190" t="s">
        <v>301</v>
      </c>
      <c r="C269" s="190" t="s">
        <v>307</v>
      </c>
      <c r="D269" s="190" t="s">
        <v>263</v>
      </c>
      <c r="E269" s="191" t="s">
        <v>0</v>
      </c>
      <c r="F269" s="192"/>
      <c r="G269" s="192"/>
      <c r="H269" s="192"/>
      <c r="I269" s="193">
        <v>2</v>
      </c>
      <c r="J269" s="193">
        <v>3</v>
      </c>
      <c r="K269" s="85">
        <v>42156</v>
      </c>
      <c r="L269" s="250"/>
      <c r="M269" s="253"/>
      <c r="U269" s="218">
        <v>55</v>
      </c>
      <c r="V269" s="19" t="s">
        <v>244</v>
      </c>
      <c r="W269" s="19"/>
      <c r="X269" s="241"/>
    </row>
    <row r="270" spans="1:24" ht="45" x14ac:dyDescent="0.25">
      <c r="A270" s="224" t="s">
        <v>138</v>
      </c>
      <c r="B270" s="160" t="s">
        <v>301</v>
      </c>
      <c r="C270" s="160" t="s">
        <v>307</v>
      </c>
      <c r="D270" s="160" t="s">
        <v>247</v>
      </c>
      <c r="E270" s="47" t="s">
        <v>34</v>
      </c>
      <c r="F270" s="126"/>
      <c r="G270" s="97"/>
      <c r="H270" s="97"/>
      <c r="I270" s="25">
        <v>2</v>
      </c>
      <c r="J270" s="26">
        <v>3</v>
      </c>
      <c r="K270" s="85">
        <v>42156</v>
      </c>
      <c r="L270" s="250"/>
      <c r="M270" s="253"/>
      <c r="U270" s="218">
        <v>56</v>
      </c>
      <c r="V270" s="19" t="s">
        <v>244</v>
      </c>
      <c r="W270" s="19"/>
      <c r="X270" s="241"/>
    </row>
    <row r="271" spans="1:24" ht="45" x14ac:dyDescent="0.25">
      <c r="A271" s="224" t="s">
        <v>138</v>
      </c>
      <c r="B271" s="160" t="s">
        <v>301</v>
      </c>
      <c r="C271" s="160" t="s">
        <v>307</v>
      </c>
      <c r="D271" s="160" t="s">
        <v>248</v>
      </c>
      <c r="E271" s="47" t="s">
        <v>34</v>
      </c>
      <c r="F271" s="126"/>
      <c r="G271" s="97"/>
      <c r="H271" s="97"/>
      <c r="I271" s="25">
        <v>2</v>
      </c>
      <c r="J271" s="26">
        <v>3</v>
      </c>
      <c r="K271" s="85">
        <v>42156</v>
      </c>
      <c r="L271" s="250"/>
      <c r="M271" s="253"/>
      <c r="U271" s="218">
        <v>56</v>
      </c>
      <c r="V271" s="19" t="s">
        <v>244</v>
      </c>
      <c r="W271" s="19"/>
      <c r="X271" s="241"/>
    </row>
    <row r="272" spans="1:24" ht="45" x14ac:dyDescent="0.25">
      <c r="A272" s="224" t="s">
        <v>138</v>
      </c>
      <c r="B272" s="160" t="s">
        <v>301</v>
      </c>
      <c r="C272" s="160" t="s">
        <v>307</v>
      </c>
      <c r="D272" s="160" t="s">
        <v>260</v>
      </c>
      <c r="E272" s="161" t="s">
        <v>35</v>
      </c>
      <c r="F272" s="96"/>
      <c r="G272" s="96"/>
      <c r="H272" s="96"/>
      <c r="I272" s="25">
        <v>2</v>
      </c>
      <c r="J272" s="26">
        <v>3</v>
      </c>
      <c r="K272" s="85">
        <v>42156</v>
      </c>
      <c r="L272" s="250"/>
      <c r="M272" s="253"/>
      <c r="U272" s="218">
        <v>57</v>
      </c>
      <c r="V272" s="19" t="s">
        <v>244</v>
      </c>
      <c r="W272" s="19"/>
      <c r="X272" s="241"/>
    </row>
    <row r="273" spans="1:24" ht="45" x14ac:dyDescent="0.25">
      <c r="A273" s="224" t="s">
        <v>138</v>
      </c>
      <c r="B273" s="160" t="s">
        <v>301</v>
      </c>
      <c r="C273" s="160" t="s">
        <v>307</v>
      </c>
      <c r="D273" s="160" t="s">
        <v>249</v>
      </c>
      <c r="E273" s="162" t="s">
        <v>36</v>
      </c>
      <c r="F273" s="127"/>
      <c r="G273" s="98"/>
      <c r="H273" s="98"/>
      <c r="I273" s="25">
        <v>2</v>
      </c>
      <c r="J273" s="26">
        <v>3</v>
      </c>
      <c r="K273" s="85">
        <v>42156</v>
      </c>
      <c r="L273" s="250"/>
      <c r="M273" s="253"/>
      <c r="U273" s="218">
        <v>58</v>
      </c>
      <c r="V273" s="19" t="s">
        <v>244</v>
      </c>
      <c r="W273" s="19"/>
      <c r="X273" s="241"/>
    </row>
    <row r="274" spans="1:24" ht="45" x14ac:dyDescent="0.25">
      <c r="A274" s="224" t="s">
        <v>138</v>
      </c>
      <c r="B274" s="160" t="s">
        <v>301</v>
      </c>
      <c r="C274" s="160" t="s">
        <v>307</v>
      </c>
      <c r="D274" s="160" t="s">
        <v>261</v>
      </c>
      <c r="E274" s="47" t="s">
        <v>37</v>
      </c>
      <c r="F274" s="126"/>
      <c r="G274" s="97"/>
      <c r="H274" s="97"/>
      <c r="I274" s="26">
        <v>2</v>
      </c>
      <c r="J274" s="26">
        <v>3</v>
      </c>
      <c r="K274" s="85">
        <v>42156</v>
      </c>
      <c r="L274" s="250"/>
      <c r="M274" s="253"/>
      <c r="U274" s="218">
        <v>59</v>
      </c>
      <c r="V274" s="19" t="s">
        <v>244</v>
      </c>
      <c r="W274" s="19"/>
      <c r="X274" s="241"/>
    </row>
    <row r="275" spans="1:24" ht="45.75" thickBot="1" x14ac:dyDescent="0.3">
      <c r="A275" s="225" t="s">
        <v>138</v>
      </c>
      <c r="B275" s="163" t="s">
        <v>301</v>
      </c>
      <c r="C275" s="163" t="s">
        <v>307</v>
      </c>
      <c r="D275" s="163" t="s">
        <v>304</v>
      </c>
      <c r="E275" s="164" t="s">
        <v>38</v>
      </c>
      <c r="F275" s="128"/>
      <c r="G275" s="129"/>
      <c r="H275" s="129"/>
      <c r="I275" s="31">
        <v>2</v>
      </c>
      <c r="J275" s="31">
        <v>3</v>
      </c>
      <c r="K275" s="86">
        <v>42156</v>
      </c>
      <c r="L275" s="251"/>
      <c r="M275" s="254"/>
      <c r="U275" s="218">
        <v>60</v>
      </c>
      <c r="V275" s="19" t="s">
        <v>244</v>
      </c>
      <c r="W275" s="19"/>
      <c r="X275" s="241"/>
    </row>
    <row r="276" spans="1:24" ht="45.75" thickTop="1" x14ac:dyDescent="0.25">
      <c r="A276" s="226" t="s">
        <v>138</v>
      </c>
      <c r="B276" s="165" t="s">
        <v>301</v>
      </c>
      <c r="C276" s="165" t="s">
        <v>308</v>
      </c>
      <c r="D276" s="165" t="s">
        <v>305</v>
      </c>
      <c r="E276" s="166" t="s">
        <v>348</v>
      </c>
      <c r="F276" s="130"/>
      <c r="G276" s="130"/>
      <c r="H276" s="130"/>
      <c r="I276" s="32">
        <v>2</v>
      </c>
      <c r="J276" s="32">
        <v>2</v>
      </c>
      <c r="K276" s="203">
        <v>42156</v>
      </c>
      <c r="L276" s="250" t="str">
        <f t="shared" ref="L276:M276" si="18">CONCATENATE("Level"," ",MIN(I276:I285))</f>
        <v>Level 2</v>
      </c>
      <c r="M276" s="253" t="str">
        <f t="shared" si="18"/>
        <v>Level 2</v>
      </c>
      <c r="U276" s="218">
        <v>1</v>
      </c>
      <c r="V276" s="19" t="s">
        <v>244</v>
      </c>
      <c r="W276" s="19"/>
      <c r="X276" s="241"/>
    </row>
    <row r="277" spans="1:24" ht="45" x14ac:dyDescent="0.25">
      <c r="A277" s="228" t="s">
        <v>138</v>
      </c>
      <c r="B277" s="199" t="s">
        <v>301</v>
      </c>
      <c r="C277" s="199" t="s">
        <v>308</v>
      </c>
      <c r="D277" s="199" t="s">
        <v>266</v>
      </c>
      <c r="E277" s="200" t="s">
        <v>348</v>
      </c>
      <c r="F277" s="201"/>
      <c r="G277" s="201"/>
      <c r="H277" s="201"/>
      <c r="I277" s="202">
        <v>3</v>
      </c>
      <c r="J277" s="202">
        <v>4</v>
      </c>
      <c r="K277" s="88">
        <v>42156</v>
      </c>
      <c r="L277" s="250"/>
      <c r="M277" s="253"/>
      <c r="U277" s="218">
        <v>2</v>
      </c>
      <c r="V277" s="19" t="s">
        <v>244</v>
      </c>
      <c r="W277" s="19"/>
      <c r="X277" s="241"/>
    </row>
    <row r="278" spans="1:24" ht="75" x14ac:dyDescent="0.25">
      <c r="A278" s="228" t="s">
        <v>138</v>
      </c>
      <c r="B278" s="199" t="s">
        <v>301</v>
      </c>
      <c r="C278" s="199" t="s">
        <v>308</v>
      </c>
      <c r="D278" s="199" t="s">
        <v>252</v>
      </c>
      <c r="E278" s="200" t="s">
        <v>348</v>
      </c>
      <c r="F278" s="201"/>
      <c r="G278" s="201"/>
      <c r="H278" s="201"/>
      <c r="I278" s="202">
        <v>2</v>
      </c>
      <c r="J278" s="202">
        <v>3</v>
      </c>
      <c r="K278" s="88">
        <v>42156</v>
      </c>
      <c r="L278" s="250"/>
      <c r="M278" s="253"/>
      <c r="U278" s="218">
        <v>3</v>
      </c>
      <c r="V278" s="19" t="s">
        <v>244</v>
      </c>
      <c r="W278" s="19"/>
      <c r="X278" s="241"/>
    </row>
    <row r="279" spans="1:24" ht="45" x14ac:dyDescent="0.25">
      <c r="A279" s="228" t="s">
        <v>138</v>
      </c>
      <c r="B279" s="199" t="s">
        <v>301</v>
      </c>
      <c r="C279" s="199" t="s">
        <v>308</v>
      </c>
      <c r="D279" s="199" t="s">
        <v>263</v>
      </c>
      <c r="E279" s="200" t="s">
        <v>0</v>
      </c>
      <c r="F279" s="201"/>
      <c r="G279" s="201"/>
      <c r="H279" s="201"/>
      <c r="I279" s="202">
        <v>2</v>
      </c>
      <c r="J279" s="202">
        <v>3</v>
      </c>
      <c r="K279" s="88">
        <v>42156</v>
      </c>
      <c r="L279" s="250"/>
      <c r="M279" s="253"/>
      <c r="U279" s="218">
        <v>55</v>
      </c>
      <c r="V279" s="19" t="s">
        <v>244</v>
      </c>
      <c r="W279" s="19"/>
      <c r="X279" s="241"/>
    </row>
    <row r="280" spans="1:24" ht="45" x14ac:dyDescent="0.25">
      <c r="A280" s="227" t="s">
        <v>138</v>
      </c>
      <c r="B280" s="167" t="s">
        <v>301</v>
      </c>
      <c r="C280" s="167" t="s">
        <v>308</v>
      </c>
      <c r="D280" s="167" t="s">
        <v>247</v>
      </c>
      <c r="E280" s="50" t="s">
        <v>34</v>
      </c>
      <c r="F280" s="131"/>
      <c r="G280" s="92"/>
      <c r="H280" s="92"/>
      <c r="I280" s="6">
        <v>3</v>
      </c>
      <c r="J280" s="5">
        <v>4</v>
      </c>
      <c r="K280" s="88">
        <v>42156</v>
      </c>
      <c r="L280" s="250"/>
      <c r="M280" s="253"/>
      <c r="U280" s="218">
        <v>56</v>
      </c>
      <c r="V280" s="19" t="s">
        <v>244</v>
      </c>
      <c r="W280" s="19"/>
      <c r="X280" s="241"/>
    </row>
    <row r="281" spans="1:24" ht="45" x14ac:dyDescent="0.25">
      <c r="A281" s="227" t="s">
        <v>138</v>
      </c>
      <c r="B281" s="167" t="s">
        <v>301</v>
      </c>
      <c r="C281" s="167" t="s">
        <v>308</v>
      </c>
      <c r="D281" s="167" t="s">
        <v>248</v>
      </c>
      <c r="E281" s="50" t="s">
        <v>34</v>
      </c>
      <c r="F281" s="131"/>
      <c r="G281" s="92"/>
      <c r="H281" s="92"/>
      <c r="I281" s="6">
        <v>2</v>
      </c>
      <c r="J281" s="5">
        <v>3</v>
      </c>
      <c r="K281" s="88">
        <v>42156</v>
      </c>
      <c r="L281" s="250"/>
      <c r="M281" s="253"/>
      <c r="U281" s="218">
        <v>56</v>
      </c>
      <c r="V281" s="19" t="s">
        <v>244</v>
      </c>
      <c r="W281" s="19"/>
      <c r="X281" s="241"/>
    </row>
    <row r="282" spans="1:24" ht="45" x14ac:dyDescent="0.25">
      <c r="A282" s="227" t="s">
        <v>138</v>
      </c>
      <c r="B282" s="167" t="s">
        <v>301</v>
      </c>
      <c r="C282" s="167" t="s">
        <v>308</v>
      </c>
      <c r="D282" s="167" t="s">
        <v>260</v>
      </c>
      <c r="E282" s="168" t="s">
        <v>35</v>
      </c>
      <c r="F282" s="93"/>
      <c r="G282" s="93"/>
      <c r="H282" s="93"/>
      <c r="I282" s="6">
        <v>2</v>
      </c>
      <c r="J282" s="5">
        <v>3</v>
      </c>
      <c r="K282" s="88">
        <v>42156</v>
      </c>
      <c r="L282" s="250"/>
      <c r="M282" s="253"/>
      <c r="U282" s="218">
        <v>57</v>
      </c>
      <c r="V282" s="19" t="s">
        <v>244</v>
      </c>
      <c r="W282" s="19"/>
      <c r="X282" s="241"/>
    </row>
    <row r="283" spans="1:24" ht="45" x14ac:dyDescent="0.25">
      <c r="A283" s="227" t="s">
        <v>138</v>
      </c>
      <c r="B283" s="167" t="s">
        <v>301</v>
      </c>
      <c r="C283" s="167" t="s">
        <v>308</v>
      </c>
      <c r="D283" s="167" t="s">
        <v>249</v>
      </c>
      <c r="E283" s="169" t="s">
        <v>36</v>
      </c>
      <c r="F283" s="132"/>
      <c r="G283" s="91"/>
      <c r="H283" s="91"/>
      <c r="I283" s="6">
        <v>2</v>
      </c>
      <c r="J283" s="5">
        <v>3</v>
      </c>
      <c r="K283" s="88">
        <v>42156</v>
      </c>
      <c r="L283" s="250"/>
      <c r="M283" s="253"/>
      <c r="U283" s="218">
        <v>58</v>
      </c>
      <c r="V283" s="19" t="s">
        <v>244</v>
      </c>
      <c r="W283" s="19"/>
      <c r="X283" s="241"/>
    </row>
    <row r="284" spans="1:24" ht="45" x14ac:dyDescent="0.25">
      <c r="A284" s="227" t="s">
        <v>138</v>
      </c>
      <c r="B284" s="167" t="s">
        <v>301</v>
      </c>
      <c r="C284" s="167" t="s">
        <v>308</v>
      </c>
      <c r="D284" s="167" t="s">
        <v>261</v>
      </c>
      <c r="E284" s="50" t="s">
        <v>37</v>
      </c>
      <c r="F284" s="131"/>
      <c r="G284" s="92"/>
      <c r="H284" s="92"/>
      <c r="I284" s="5">
        <v>2</v>
      </c>
      <c r="J284" s="5">
        <v>3</v>
      </c>
      <c r="K284" s="88">
        <v>42156</v>
      </c>
      <c r="L284" s="250"/>
      <c r="M284" s="253"/>
      <c r="U284" s="218">
        <v>59</v>
      </c>
      <c r="V284" s="19" t="s">
        <v>244</v>
      </c>
      <c r="W284" s="19"/>
      <c r="X284" s="241"/>
    </row>
    <row r="285" spans="1:24" ht="45.75" thickBot="1" x14ac:dyDescent="0.3">
      <c r="A285" s="229" t="s">
        <v>138</v>
      </c>
      <c r="B285" s="170" t="s">
        <v>301</v>
      </c>
      <c r="C285" s="170" t="s">
        <v>308</v>
      </c>
      <c r="D285" s="170" t="s">
        <v>304</v>
      </c>
      <c r="E285" s="171" t="s">
        <v>38</v>
      </c>
      <c r="F285" s="133"/>
      <c r="G285" s="101"/>
      <c r="H285" s="101"/>
      <c r="I285" s="33">
        <v>2</v>
      </c>
      <c r="J285" s="33">
        <v>2</v>
      </c>
      <c r="K285" s="89">
        <v>42156</v>
      </c>
      <c r="L285" s="251"/>
      <c r="M285" s="254"/>
      <c r="U285" s="218">
        <v>60</v>
      </c>
      <c r="V285" s="19" t="s">
        <v>244</v>
      </c>
      <c r="W285" s="19"/>
      <c r="X285" s="241"/>
    </row>
    <row r="286" spans="1:24" ht="45.75" thickTop="1" x14ac:dyDescent="0.25">
      <c r="A286" s="231" t="s">
        <v>138</v>
      </c>
      <c r="B286" s="158" t="s">
        <v>284</v>
      </c>
      <c r="C286" s="158" t="s">
        <v>163</v>
      </c>
      <c r="D286" s="158" t="s">
        <v>289</v>
      </c>
      <c r="E286" s="159" t="s">
        <v>348</v>
      </c>
      <c r="F286" s="63"/>
      <c r="G286" s="63"/>
      <c r="H286" s="63"/>
      <c r="I286" s="30">
        <v>2</v>
      </c>
      <c r="J286" s="30">
        <v>3</v>
      </c>
      <c r="K286" s="233">
        <v>42156</v>
      </c>
      <c r="L286" s="249" t="str">
        <f t="shared" ref="L286:M286" si="19">CONCATENATE("Level"," ",MIN(I286:I300))</f>
        <v>Level 1</v>
      </c>
      <c r="M286" s="252" t="str">
        <f t="shared" si="19"/>
        <v>Level 2</v>
      </c>
      <c r="U286" s="218">
        <v>19</v>
      </c>
      <c r="V286" s="19" t="s">
        <v>244</v>
      </c>
      <c r="W286" s="19"/>
      <c r="X286" s="241"/>
    </row>
    <row r="287" spans="1:24" ht="45" x14ac:dyDescent="0.25">
      <c r="A287" s="230" t="s">
        <v>138</v>
      </c>
      <c r="B287" s="190" t="s">
        <v>284</v>
      </c>
      <c r="C287" s="190" t="s">
        <v>163</v>
      </c>
      <c r="D287" s="190" t="s">
        <v>250</v>
      </c>
      <c r="E287" s="191" t="s">
        <v>348</v>
      </c>
      <c r="F287" s="192"/>
      <c r="G287" s="192"/>
      <c r="H287" s="192"/>
      <c r="I287" s="193">
        <v>2</v>
      </c>
      <c r="J287" s="193">
        <v>3</v>
      </c>
      <c r="K287" s="85">
        <v>42156</v>
      </c>
      <c r="L287" s="250"/>
      <c r="M287" s="253"/>
      <c r="U287" s="218">
        <v>1</v>
      </c>
      <c r="V287" s="19" t="s">
        <v>244</v>
      </c>
      <c r="W287" s="19"/>
      <c r="X287" s="241"/>
    </row>
    <row r="288" spans="1:24" ht="45" x14ac:dyDescent="0.25">
      <c r="A288" s="230" t="s">
        <v>138</v>
      </c>
      <c r="B288" s="190" t="s">
        <v>284</v>
      </c>
      <c r="C288" s="190" t="s">
        <v>163</v>
      </c>
      <c r="D288" s="190" t="s">
        <v>266</v>
      </c>
      <c r="E288" s="191" t="s">
        <v>348</v>
      </c>
      <c r="F288" s="192"/>
      <c r="G288" s="192"/>
      <c r="H288" s="192"/>
      <c r="I288" s="193">
        <v>2</v>
      </c>
      <c r="J288" s="193">
        <v>3</v>
      </c>
      <c r="K288" s="85">
        <v>42156</v>
      </c>
      <c r="L288" s="250"/>
      <c r="M288" s="253"/>
      <c r="U288" s="218">
        <v>2</v>
      </c>
      <c r="V288" s="19" t="s">
        <v>244</v>
      </c>
      <c r="W288" s="19"/>
      <c r="X288" s="241"/>
    </row>
    <row r="289" spans="1:24" ht="45" x14ac:dyDescent="0.25">
      <c r="A289" s="230" t="s">
        <v>138</v>
      </c>
      <c r="B289" s="190" t="s">
        <v>284</v>
      </c>
      <c r="C289" s="190" t="s">
        <v>163</v>
      </c>
      <c r="D289" s="190" t="s">
        <v>288</v>
      </c>
      <c r="E289" s="191" t="s">
        <v>348</v>
      </c>
      <c r="F289" s="192"/>
      <c r="G289" s="192"/>
      <c r="H289" s="192"/>
      <c r="I289" s="193">
        <v>5</v>
      </c>
      <c r="J289" s="193">
        <v>5</v>
      </c>
      <c r="K289" s="85">
        <v>42156</v>
      </c>
      <c r="L289" s="250"/>
      <c r="M289" s="253"/>
      <c r="U289" s="218">
        <v>20</v>
      </c>
      <c r="V289" s="19" t="s">
        <v>244</v>
      </c>
      <c r="W289" s="19"/>
      <c r="X289" s="241"/>
    </row>
    <row r="290" spans="1:24" ht="45" x14ac:dyDescent="0.25">
      <c r="A290" s="230" t="s">
        <v>138</v>
      </c>
      <c r="B290" s="190" t="s">
        <v>284</v>
      </c>
      <c r="C290" s="190" t="s">
        <v>163</v>
      </c>
      <c r="D290" s="190" t="s">
        <v>287</v>
      </c>
      <c r="E290" s="191" t="s">
        <v>348</v>
      </c>
      <c r="F290" s="192"/>
      <c r="G290" s="192"/>
      <c r="H290" s="192"/>
      <c r="I290" s="193">
        <v>3</v>
      </c>
      <c r="J290" s="193">
        <v>4</v>
      </c>
      <c r="K290" s="85">
        <v>42156</v>
      </c>
      <c r="L290" s="250"/>
      <c r="M290" s="253"/>
      <c r="U290" s="218">
        <v>21</v>
      </c>
      <c r="V290" s="19" t="s">
        <v>244</v>
      </c>
      <c r="W290" s="19"/>
      <c r="X290" s="241"/>
    </row>
    <row r="291" spans="1:24" ht="120" x14ac:dyDescent="0.25">
      <c r="A291" s="230" t="s">
        <v>138</v>
      </c>
      <c r="B291" s="190" t="s">
        <v>284</v>
      </c>
      <c r="C291" s="190" t="s">
        <v>163</v>
      </c>
      <c r="D291" s="190" t="s">
        <v>286</v>
      </c>
      <c r="E291" s="191" t="s">
        <v>348</v>
      </c>
      <c r="F291" s="192"/>
      <c r="G291" s="192"/>
      <c r="H291" s="192"/>
      <c r="I291" s="193">
        <v>2</v>
      </c>
      <c r="J291" s="193">
        <v>3</v>
      </c>
      <c r="K291" s="85">
        <v>42156</v>
      </c>
      <c r="L291" s="250"/>
      <c r="M291" s="253"/>
      <c r="U291" s="218">
        <v>22</v>
      </c>
      <c r="V291" s="19" t="s">
        <v>244</v>
      </c>
      <c r="W291" s="19"/>
      <c r="X291" s="241"/>
    </row>
    <row r="292" spans="1:24" ht="45" x14ac:dyDescent="0.25">
      <c r="A292" s="230" t="s">
        <v>138</v>
      </c>
      <c r="B292" s="190" t="s">
        <v>284</v>
      </c>
      <c r="C292" s="190" t="s">
        <v>163</v>
      </c>
      <c r="D292" s="190" t="s">
        <v>285</v>
      </c>
      <c r="E292" s="191" t="s">
        <v>348</v>
      </c>
      <c r="F292" s="192"/>
      <c r="G292" s="192"/>
      <c r="H292" s="192"/>
      <c r="I292" s="193">
        <v>3</v>
      </c>
      <c r="J292" s="193">
        <v>4</v>
      </c>
      <c r="K292" s="85">
        <v>42156</v>
      </c>
      <c r="L292" s="250"/>
      <c r="M292" s="253"/>
      <c r="U292" s="218">
        <v>23</v>
      </c>
      <c r="V292" s="19" t="s">
        <v>244</v>
      </c>
      <c r="W292" s="19"/>
      <c r="X292" s="241"/>
    </row>
    <row r="293" spans="1:24" ht="75" x14ac:dyDescent="0.25">
      <c r="A293" s="230" t="s">
        <v>138</v>
      </c>
      <c r="B293" s="190" t="s">
        <v>284</v>
      </c>
      <c r="C293" s="190" t="s">
        <v>163</v>
      </c>
      <c r="D293" s="190" t="s">
        <v>252</v>
      </c>
      <c r="E293" s="191" t="s">
        <v>348</v>
      </c>
      <c r="F293" s="192"/>
      <c r="G293" s="192"/>
      <c r="H293" s="192"/>
      <c r="I293" s="193">
        <v>3</v>
      </c>
      <c r="J293" s="193">
        <v>3</v>
      </c>
      <c r="K293" s="85">
        <v>42156</v>
      </c>
      <c r="L293" s="250"/>
      <c r="M293" s="253"/>
      <c r="U293" s="218">
        <v>3</v>
      </c>
      <c r="V293" s="19" t="s">
        <v>244</v>
      </c>
      <c r="W293" s="19"/>
      <c r="X293" s="241"/>
    </row>
    <row r="294" spans="1:24" ht="45" x14ac:dyDescent="0.25">
      <c r="A294" s="230" t="s">
        <v>138</v>
      </c>
      <c r="B294" s="190" t="s">
        <v>284</v>
      </c>
      <c r="C294" s="190" t="s">
        <v>163</v>
      </c>
      <c r="D294" s="190" t="s">
        <v>259</v>
      </c>
      <c r="E294" s="191" t="s">
        <v>0</v>
      </c>
      <c r="F294" s="192"/>
      <c r="G294" s="192"/>
      <c r="H294" s="192"/>
      <c r="I294" s="193">
        <v>1</v>
      </c>
      <c r="J294" s="193">
        <v>2</v>
      </c>
      <c r="K294" s="85">
        <v>42156</v>
      </c>
      <c r="L294" s="250"/>
      <c r="M294" s="253"/>
      <c r="U294" s="218">
        <v>55</v>
      </c>
      <c r="V294" s="19" t="s">
        <v>244</v>
      </c>
      <c r="W294" s="19"/>
      <c r="X294" s="241"/>
    </row>
    <row r="295" spans="1:24" ht="45" x14ac:dyDescent="0.25">
      <c r="A295" s="224" t="s">
        <v>138</v>
      </c>
      <c r="B295" s="160" t="s">
        <v>284</v>
      </c>
      <c r="C295" s="160" t="s">
        <v>163</v>
      </c>
      <c r="D295" s="160" t="s">
        <v>247</v>
      </c>
      <c r="E295" s="47" t="s">
        <v>34</v>
      </c>
      <c r="F295" s="126"/>
      <c r="G295" s="97"/>
      <c r="H295" s="97"/>
      <c r="I295" s="25">
        <v>2</v>
      </c>
      <c r="J295" s="26">
        <v>3</v>
      </c>
      <c r="K295" s="85">
        <v>42156</v>
      </c>
      <c r="L295" s="250"/>
      <c r="M295" s="253"/>
      <c r="U295" s="218">
        <v>56</v>
      </c>
      <c r="V295" s="19" t="s">
        <v>244</v>
      </c>
      <c r="W295" s="19"/>
      <c r="X295" s="241"/>
    </row>
    <row r="296" spans="1:24" ht="45" x14ac:dyDescent="0.25">
      <c r="A296" s="224" t="s">
        <v>138</v>
      </c>
      <c r="B296" s="160" t="s">
        <v>284</v>
      </c>
      <c r="C296" s="160" t="s">
        <v>163</v>
      </c>
      <c r="D296" s="160" t="s">
        <v>248</v>
      </c>
      <c r="E296" s="47" t="s">
        <v>34</v>
      </c>
      <c r="F296" s="126"/>
      <c r="G296" s="97"/>
      <c r="H296" s="97"/>
      <c r="I296" s="25">
        <v>3</v>
      </c>
      <c r="J296" s="26">
        <v>3</v>
      </c>
      <c r="K296" s="85">
        <v>42156</v>
      </c>
      <c r="L296" s="250"/>
      <c r="M296" s="253"/>
      <c r="U296" s="218">
        <v>56</v>
      </c>
      <c r="V296" s="19" t="s">
        <v>244</v>
      </c>
      <c r="W296" s="19"/>
      <c r="X296" s="241"/>
    </row>
    <row r="297" spans="1:24" ht="45" x14ac:dyDescent="0.25">
      <c r="A297" s="224" t="s">
        <v>138</v>
      </c>
      <c r="B297" s="160" t="s">
        <v>284</v>
      </c>
      <c r="C297" s="160" t="s">
        <v>163</v>
      </c>
      <c r="D297" s="160" t="s">
        <v>260</v>
      </c>
      <c r="E297" s="161" t="s">
        <v>35</v>
      </c>
      <c r="F297" s="96"/>
      <c r="G297" s="96"/>
      <c r="H297" s="96"/>
      <c r="I297" s="25">
        <v>3</v>
      </c>
      <c r="J297" s="26">
        <v>3</v>
      </c>
      <c r="K297" s="85">
        <v>42156</v>
      </c>
      <c r="L297" s="250"/>
      <c r="M297" s="253"/>
      <c r="U297" s="218">
        <v>57</v>
      </c>
      <c r="V297" s="19" t="s">
        <v>244</v>
      </c>
      <c r="W297" s="19"/>
      <c r="X297" s="241"/>
    </row>
    <row r="298" spans="1:24" ht="45" x14ac:dyDescent="0.25">
      <c r="A298" s="224" t="s">
        <v>138</v>
      </c>
      <c r="B298" s="160" t="s">
        <v>284</v>
      </c>
      <c r="C298" s="160" t="s">
        <v>163</v>
      </c>
      <c r="D298" s="160" t="s">
        <v>249</v>
      </c>
      <c r="E298" s="162" t="s">
        <v>36</v>
      </c>
      <c r="F298" s="127"/>
      <c r="G298" s="98"/>
      <c r="H298" s="98"/>
      <c r="I298" s="25">
        <v>3</v>
      </c>
      <c r="J298" s="26">
        <v>3</v>
      </c>
      <c r="K298" s="85">
        <v>42156</v>
      </c>
      <c r="L298" s="250"/>
      <c r="M298" s="253"/>
      <c r="U298" s="218">
        <v>58</v>
      </c>
      <c r="V298" s="19" t="s">
        <v>244</v>
      </c>
      <c r="W298" s="19"/>
      <c r="X298" s="241"/>
    </row>
    <row r="299" spans="1:24" ht="45" x14ac:dyDescent="0.25">
      <c r="A299" s="224" t="s">
        <v>138</v>
      </c>
      <c r="B299" s="160" t="s">
        <v>284</v>
      </c>
      <c r="C299" s="160" t="s">
        <v>163</v>
      </c>
      <c r="D299" s="160" t="s">
        <v>261</v>
      </c>
      <c r="E299" s="47" t="s">
        <v>37</v>
      </c>
      <c r="F299" s="126"/>
      <c r="G299" s="97"/>
      <c r="H299" s="97"/>
      <c r="I299" s="26">
        <v>3</v>
      </c>
      <c r="J299" s="26">
        <v>3</v>
      </c>
      <c r="K299" s="85">
        <v>42156</v>
      </c>
      <c r="L299" s="250"/>
      <c r="M299" s="253"/>
      <c r="U299" s="218">
        <v>59</v>
      </c>
      <c r="V299" s="19" t="s">
        <v>244</v>
      </c>
      <c r="W299" s="19"/>
      <c r="X299" s="241"/>
    </row>
    <row r="300" spans="1:24" ht="45.75" thickBot="1" x14ac:dyDescent="0.3">
      <c r="A300" s="225" t="s">
        <v>138</v>
      </c>
      <c r="B300" s="163" t="s">
        <v>284</v>
      </c>
      <c r="C300" s="163" t="s">
        <v>163</v>
      </c>
      <c r="D300" s="163" t="s">
        <v>262</v>
      </c>
      <c r="E300" s="164" t="s">
        <v>38</v>
      </c>
      <c r="F300" s="128"/>
      <c r="G300" s="129"/>
      <c r="H300" s="129"/>
      <c r="I300" s="31">
        <v>2</v>
      </c>
      <c r="J300" s="31">
        <v>2</v>
      </c>
      <c r="K300" s="86">
        <v>42156</v>
      </c>
      <c r="L300" s="251"/>
      <c r="M300" s="254"/>
      <c r="U300" s="218">
        <v>60</v>
      </c>
      <c r="V300" s="19" t="s">
        <v>244</v>
      </c>
      <c r="W300" s="19"/>
      <c r="X300" s="241"/>
    </row>
    <row r="301" spans="1:24" ht="45.75" thickTop="1" x14ac:dyDescent="0.25">
      <c r="A301" s="226" t="s">
        <v>138</v>
      </c>
      <c r="B301" s="165" t="s">
        <v>284</v>
      </c>
      <c r="C301" s="165" t="s">
        <v>129</v>
      </c>
      <c r="D301" s="165" t="s">
        <v>289</v>
      </c>
      <c r="E301" s="166" t="s">
        <v>348</v>
      </c>
      <c r="F301" s="130"/>
      <c r="G301" s="130"/>
      <c r="H301" s="130"/>
      <c r="I301" s="32">
        <v>1</v>
      </c>
      <c r="J301" s="32">
        <v>3</v>
      </c>
      <c r="K301" s="203">
        <v>42156</v>
      </c>
      <c r="L301" s="249" t="str">
        <f t="shared" ref="L301:M301" si="20">CONCATENATE("Level"," ",MIN(I301:I312))</f>
        <v>Level 1</v>
      </c>
      <c r="M301" s="252" t="str">
        <f t="shared" si="20"/>
        <v>Level 3</v>
      </c>
      <c r="U301" s="218">
        <v>19</v>
      </c>
      <c r="V301" s="19" t="s">
        <v>244</v>
      </c>
      <c r="W301" s="19" t="s">
        <v>209</v>
      </c>
      <c r="X301" s="240"/>
    </row>
    <row r="302" spans="1:24" ht="45" x14ac:dyDescent="0.25">
      <c r="A302" s="228" t="s">
        <v>138</v>
      </c>
      <c r="B302" s="199" t="s">
        <v>284</v>
      </c>
      <c r="C302" s="199" t="s">
        <v>129</v>
      </c>
      <c r="D302" s="199" t="s">
        <v>250</v>
      </c>
      <c r="E302" s="200" t="s">
        <v>348</v>
      </c>
      <c r="F302" s="201"/>
      <c r="G302" s="201"/>
      <c r="H302" s="201"/>
      <c r="I302" s="202">
        <v>2</v>
      </c>
      <c r="J302" s="202">
        <v>3</v>
      </c>
      <c r="K302" s="88">
        <v>42156</v>
      </c>
      <c r="L302" s="250"/>
      <c r="M302" s="253"/>
      <c r="U302" s="218">
        <v>1</v>
      </c>
      <c r="V302" s="19" t="s">
        <v>244</v>
      </c>
      <c r="W302" s="19" t="s">
        <v>209</v>
      </c>
      <c r="X302" s="240"/>
    </row>
    <row r="303" spans="1:24" ht="45" x14ac:dyDescent="0.25">
      <c r="A303" s="228" t="s">
        <v>138</v>
      </c>
      <c r="B303" s="199" t="s">
        <v>284</v>
      </c>
      <c r="C303" s="199" t="s">
        <v>129</v>
      </c>
      <c r="D303" s="199" t="s">
        <v>290</v>
      </c>
      <c r="E303" s="200" t="s">
        <v>348</v>
      </c>
      <c r="F303" s="201"/>
      <c r="G303" s="201"/>
      <c r="H303" s="201"/>
      <c r="I303" s="202">
        <v>3</v>
      </c>
      <c r="J303" s="202">
        <v>3</v>
      </c>
      <c r="K303" s="88">
        <v>42156</v>
      </c>
      <c r="L303" s="250"/>
      <c r="M303" s="253"/>
      <c r="U303" s="218">
        <v>24</v>
      </c>
      <c r="V303" s="19" t="s">
        <v>244</v>
      </c>
      <c r="W303" s="19" t="s">
        <v>209</v>
      </c>
      <c r="X303" s="240"/>
    </row>
    <row r="304" spans="1:24" ht="45" x14ac:dyDescent="0.25">
      <c r="A304" s="228" t="s">
        <v>138</v>
      </c>
      <c r="B304" s="199" t="s">
        <v>284</v>
      </c>
      <c r="C304" s="199" t="s">
        <v>129</v>
      </c>
      <c r="D304" s="199" t="s">
        <v>266</v>
      </c>
      <c r="E304" s="200" t="s">
        <v>348</v>
      </c>
      <c r="F304" s="201"/>
      <c r="G304" s="201"/>
      <c r="H304" s="201"/>
      <c r="I304" s="202">
        <v>2</v>
      </c>
      <c r="J304" s="202">
        <v>3</v>
      </c>
      <c r="K304" s="88">
        <v>42156</v>
      </c>
      <c r="L304" s="250"/>
      <c r="M304" s="253"/>
      <c r="U304" s="218">
        <v>2</v>
      </c>
      <c r="V304" s="19" t="s">
        <v>244</v>
      </c>
      <c r="W304" s="19" t="s">
        <v>209</v>
      </c>
      <c r="X304" s="240"/>
    </row>
    <row r="305" spans="1:24" ht="75" x14ac:dyDescent="0.25">
      <c r="A305" s="228" t="s">
        <v>138</v>
      </c>
      <c r="B305" s="199" t="s">
        <v>284</v>
      </c>
      <c r="C305" s="199" t="s">
        <v>129</v>
      </c>
      <c r="D305" s="199" t="s">
        <v>252</v>
      </c>
      <c r="E305" s="200" t="s">
        <v>348</v>
      </c>
      <c r="F305" s="201"/>
      <c r="G305" s="201"/>
      <c r="H305" s="201"/>
      <c r="I305" s="202">
        <v>2</v>
      </c>
      <c r="J305" s="202">
        <v>3</v>
      </c>
      <c r="K305" s="88">
        <v>42156</v>
      </c>
      <c r="L305" s="250"/>
      <c r="M305" s="253"/>
      <c r="U305" s="218">
        <v>3</v>
      </c>
      <c r="V305" s="19" t="s">
        <v>244</v>
      </c>
      <c r="W305" s="19" t="s">
        <v>209</v>
      </c>
      <c r="X305" s="240"/>
    </row>
    <row r="306" spans="1:24" ht="45" x14ac:dyDescent="0.25">
      <c r="A306" s="228" t="s">
        <v>138</v>
      </c>
      <c r="B306" s="199" t="s">
        <v>284</v>
      </c>
      <c r="C306" s="199" t="s">
        <v>129</v>
      </c>
      <c r="D306" s="199" t="s">
        <v>259</v>
      </c>
      <c r="E306" s="200" t="s">
        <v>0</v>
      </c>
      <c r="F306" s="201"/>
      <c r="G306" s="201"/>
      <c r="H306" s="201"/>
      <c r="I306" s="202">
        <v>2</v>
      </c>
      <c r="J306" s="202">
        <v>3</v>
      </c>
      <c r="K306" s="88">
        <v>42156</v>
      </c>
      <c r="L306" s="250"/>
      <c r="M306" s="253"/>
      <c r="U306" s="218">
        <v>55</v>
      </c>
      <c r="V306" s="19" t="s">
        <v>244</v>
      </c>
      <c r="W306" s="19" t="s">
        <v>209</v>
      </c>
      <c r="X306" s="240"/>
    </row>
    <row r="307" spans="1:24" ht="45" x14ac:dyDescent="0.25">
      <c r="A307" s="227" t="s">
        <v>138</v>
      </c>
      <c r="B307" s="167" t="s">
        <v>284</v>
      </c>
      <c r="C307" s="167" t="s">
        <v>129</v>
      </c>
      <c r="D307" s="167" t="s">
        <v>247</v>
      </c>
      <c r="E307" s="50" t="s">
        <v>34</v>
      </c>
      <c r="F307" s="131"/>
      <c r="G307" s="92"/>
      <c r="H307" s="92"/>
      <c r="I307" s="6">
        <v>2</v>
      </c>
      <c r="J307" s="5">
        <v>3</v>
      </c>
      <c r="K307" s="88">
        <v>42156</v>
      </c>
      <c r="L307" s="250"/>
      <c r="M307" s="253"/>
      <c r="U307" s="218">
        <v>56</v>
      </c>
      <c r="V307" s="19" t="s">
        <v>244</v>
      </c>
      <c r="W307" s="19" t="s">
        <v>209</v>
      </c>
      <c r="X307" s="240"/>
    </row>
    <row r="308" spans="1:24" ht="45" x14ac:dyDescent="0.25">
      <c r="A308" s="227" t="s">
        <v>138</v>
      </c>
      <c r="B308" s="167" t="s">
        <v>284</v>
      </c>
      <c r="C308" s="167" t="s">
        <v>129</v>
      </c>
      <c r="D308" s="167" t="s">
        <v>248</v>
      </c>
      <c r="E308" s="50" t="s">
        <v>34</v>
      </c>
      <c r="F308" s="131"/>
      <c r="G308" s="92"/>
      <c r="H308" s="92"/>
      <c r="I308" s="6">
        <v>3</v>
      </c>
      <c r="J308" s="5">
        <v>3</v>
      </c>
      <c r="K308" s="88">
        <v>42156</v>
      </c>
      <c r="L308" s="250"/>
      <c r="M308" s="253"/>
      <c r="U308" s="218">
        <v>56</v>
      </c>
      <c r="V308" s="19" t="s">
        <v>244</v>
      </c>
      <c r="W308" s="19" t="s">
        <v>209</v>
      </c>
      <c r="X308" s="240"/>
    </row>
    <row r="309" spans="1:24" ht="45" x14ac:dyDescent="0.25">
      <c r="A309" s="227" t="s">
        <v>138</v>
      </c>
      <c r="B309" s="167" t="s">
        <v>284</v>
      </c>
      <c r="C309" s="167" t="s">
        <v>129</v>
      </c>
      <c r="D309" s="167" t="s">
        <v>260</v>
      </c>
      <c r="E309" s="168" t="s">
        <v>35</v>
      </c>
      <c r="F309" s="93"/>
      <c r="G309" s="93"/>
      <c r="H309" s="93"/>
      <c r="I309" s="6">
        <v>2</v>
      </c>
      <c r="J309" s="5">
        <v>3</v>
      </c>
      <c r="K309" s="88">
        <v>42156</v>
      </c>
      <c r="L309" s="250"/>
      <c r="M309" s="253"/>
      <c r="U309" s="218">
        <v>57</v>
      </c>
      <c r="V309" s="19" t="s">
        <v>244</v>
      </c>
      <c r="W309" s="19" t="s">
        <v>209</v>
      </c>
      <c r="X309" s="240"/>
    </row>
    <row r="310" spans="1:24" ht="45" x14ac:dyDescent="0.25">
      <c r="A310" s="227" t="s">
        <v>138</v>
      </c>
      <c r="B310" s="167" t="s">
        <v>284</v>
      </c>
      <c r="C310" s="167" t="s">
        <v>129</v>
      </c>
      <c r="D310" s="167" t="s">
        <v>249</v>
      </c>
      <c r="E310" s="169" t="s">
        <v>36</v>
      </c>
      <c r="F310" s="132"/>
      <c r="G310" s="91"/>
      <c r="H310" s="91"/>
      <c r="I310" s="6">
        <v>2</v>
      </c>
      <c r="J310" s="5">
        <v>3</v>
      </c>
      <c r="K310" s="88">
        <v>42156</v>
      </c>
      <c r="L310" s="250"/>
      <c r="M310" s="253"/>
      <c r="U310" s="218">
        <v>58</v>
      </c>
      <c r="V310" s="19" t="s">
        <v>244</v>
      </c>
      <c r="W310" s="19" t="s">
        <v>209</v>
      </c>
      <c r="X310" s="240"/>
    </row>
    <row r="311" spans="1:24" ht="45" x14ac:dyDescent="0.25">
      <c r="A311" s="227" t="s">
        <v>138</v>
      </c>
      <c r="B311" s="167" t="s">
        <v>284</v>
      </c>
      <c r="C311" s="167" t="s">
        <v>129</v>
      </c>
      <c r="D311" s="167" t="s">
        <v>261</v>
      </c>
      <c r="E311" s="50" t="s">
        <v>37</v>
      </c>
      <c r="F311" s="131"/>
      <c r="G311" s="92"/>
      <c r="H311" s="92"/>
      <c r="I311" s="5">
        <v>2</v>
      </c>
      <c r="J311" s="5">
        <v>3</v>
      </c>
      <c r="K311" s="88">
        <v>42156</v>
      </c>
      <c r="L311" s="250"/>
      <c r="M311" s="253"/>
      <c r="U311" s="218">
        <v>59</v>
      </c>
      <c r="V311" s="19" t="s">
        <v>244</v>
      </c>
      <c r="W311" s="19" t="s">
        <v>209</v>
      </c>
      <c r="X311" s="240"/>
    </row>
    <row r="312" spans="1:24" ht="45.75" thickBot="1" x14ac:dyDescent="0.3">
      <c r="A312" s="229" t="s">
        <v>138</v>
      </c>
      <c r="B312" s="170" t="s">
        <v>284</v>
      </c>
      <c r="C312" s="170" t="s">
        <v>129</v>
      </c>
      <c r="D312" s="170" t="s">
        <v>262</v>
      </c>
      <c r="E312" s="171" t="s">
        <v>38</v>
      </c>
      <c r="F312" s="133"/>
      <c r="G312" s="101"/>
      <c r="H312" s="101"/>
      <c r="I312" s="33">
        <v>2</v>
      </c>
      <c r="J312" s="33">
        <v>3</v>
      </c>
      <c r="K312" s="89">
        <v>42156</v>
      </c>
      <c r="L312" s="251"/>
      <c r="M312" s="254"/>
      <c r="U312" s="218">
        <v>60</v>
      </c>
      <c r="V312" s="19" t="s">
        <v>244</v>
      </c>
      <c r="W312" s="19" t="s">
        <v>209</v>
      </c>
      <c r="X312" s="240"/>
    </row>
    <row r="313" spans="1:24" ht="45.75" thickTop="1" x14ac:dyDescent="0.25">
      <c r="A313" s="231" t="s">
        <v>138</v>
      </c>
      <c r="B313" s="158" t="s">
        <v>284</v>
      </c>
      <c r="C313" s="158" t="s">
        <v>164</v>
      </c>
      <c r="D313" s="158" t="s">
        <v>250</v>
      </c>
      <c r="E313" s="159" t="s">
        <v>348</v>
      </c>
      <c r="F313" s="63"/>
      <c r="G313" s="63"/>
      <c r="H313" s="63"/>
      <c r="I313" s="30">
        <v>2</v>
      </c>
      <c r="J313" s="30">
        <v>3</v>
      </c>
      <c r="K313" s="233">
        <v>42156</v>
      </c>
      <c r="L313" s="249" t="str">
        <f>CONCATENATE("Level"," ",MIN(I313:I322))</f>
        <v>Level 2</v>
      </c>
      <c r="M313" s="252" t="str">
        <f>CONCATENATE("Level"," ",MIN(J313:J322))</f>
        <v>Level 3</v>
      </c>
      <c r="U313" s="218">
        <v>1</v>
      </c>
      <c r="V313" s="19" t="s">
        <v>244</v>
      </c>
      <c r="W313" s="19"/>
      <c r="X313" s="241"/>
    </row>
    <row r="314" spans="1:24" ht="45" x14ac:dyDescent="0.25">
      <c r="A314" s="230" t="s">
        <v>138</v>
      </c>
      <c r="B314" s="190" t="s">
        <v>284</v>
      </c>
      <c r="C314" s="190" t="s">
        <v>164</v>
      </c>
      <c r="D314" s="190" t="s">
        <v>266</v>
      </c>
      <c r="E314" s="191" t="s">
        <v>348</v>
      </c>
      <c r="F314" s="192"/>
      <c r="G314" s="192"/>
      <c r="H314" s="192"/>
      <c r="I314" s="193">
        <v>5</v>
      </c>
      <c r="J314" s="193">
        <v>3</v>
      </c>
      <c r="K314" s="85">
        <v>42156</v>
      </c>
      <c r="L314" s="250"/>
      <c r="M314" s="253"/>
      <c r="U314" s="218">
        <v>2</v>
      </c>
      <c r="V314" s="19" t="s">
        <v>244</v>
      </c>
      <c r="W314" s="19"/>
      <c r="X314" s="241"/>
    </row>
    <row r="315" spans="1:24" ht="75" x14ac:dyDescent="0.25">
      <c r="A315" s="230" t="s">
        <v>138</v>
      </c>
      <c r="B315" s="190" t="s">
        <v>284</v>
      </c>
      <c r="C315" s="190" t="s">
        <v>164</v>
      </c>
      <c r="D315" s="190" t="s">
        <v>252</v>
      </c>
      <c r="E315" s="191" t="s">
        <v>348</v>
      </c>
      <c r="F315" s="192"/>
      <c r="G315" s="192"/>
      <c r="H315" s="192"/>
      <c r="I315" s="193">
        <v>3</v>
      </c>
      <c r="J315" s="193">
        <v>3</v>
      </c>
      <c r="K315" s="85">
        <v>42156</v>
      </c>
      <c r="L315" s="250"/>
      <c r="M315" s="253"/>
      <c r="U315" s="218">
        <v>3</v>
      </c>
      <c r="V315" s="19" t="s">
        <v>244</v>
      </c>
      <c r="W315" s="19"/>
      <c r="X315" s="241"/>
    </row>
    <row r="316" spans="1:24" ht="45" x14ac:dyDescent="0.25">
      <c r="A316" s="230" t="s">
        <v>138</v>
      </c>
      <c r="B316" s="190" t="s">
        <v>284</v>
      </c>
      <c r="C316" s="190" t="s">
        <v>164</v>
      </c>
      <c r="D316" s="190" t="s">
        <v>263</v>
      </c>
      <c r="E316" s="191" t="s">
        <v>0</v>
      </c>
      <c r="F316" s="192"/>
      <c r="G316" s="192"/>
      <c r="H316" s="192"/>
      <c r="I316" s="193">
        <v>3</v>
      </c>
      <c r="J316" s="193">
        <v>3</v>
      </c>
      <c r="K316" s="85">
        <v>42156</v>
      </c>
      <c r="L316" s="250"/>
      <c r="M316" s="253"/>
      <c r="U316" s="218">
        <v>55</v>
      </c>
      <c r="V316" s="19" t="s">
        <v>244</v>
      </c>
      <c r="W316" s="19"/>
      <c r="X316" s="241"/>
    </row>
    <row r="317" spans="1:24" ht="45" x14ac:dyDescent="0.25">
      <c r="A317" s="224" t="s">
        <v>138</v>
      </c>
      <c r="B317" s="160" t="s">
        <v>284</v>
      </c>
      <c r="C317" s="160" t="s">
        <v>164</v>
      </c>
      <c r="D317" s="160" t="s">
        <v>247</v>
      </c>
      <c r="E317" s="47" t="s">
        <v>34</v>
      </c>
      <c r="F317" s="126"/>
      <c r="G317" s="97"/>
      <c r="H317" s="97"/>
      <c r="I317" s="25">
        <v>3</v>
      </c>
      <c r="J317" s="26">
        <v>3</v>
      </c>
      <c r="K317" s="85">
        <v>42156</v>
      </c>
      <c r="L317" s="250"/>
      <c r="M317" s="253"/>
      <c r="U317" s="218">
        <v>56</v>
      </c>
      <c r="V317" s="19" t="s">
        <v>244</v>
      </c>
      <c r="W317" s="19"/>
      <c r="X317" s="241"/>
    </row>
    <row r="318" spans="1:24" ht="45" x14ac:dyDescent="0.25">
      <c r="A318" s="224" t="s">
        <v>138</v>
      </c>
      <c r="B318" s="160" t="s">
        <v>284</v>
      </c>
      <c r="C318" s="160" t="s">
        <v>164</v>
      </c>
      <c r="D318" s="160" t="s">
        <v>248</v>
      </c>
      <c r="E318" s="47" t="s">
        <v>34</v>
      </c>
      <c r="F318" s="126"/>
      <c r="G318" s="97"/>
      <c r="H318" s="97"/>
      <c r="I318" s="25">
        <v>3</v>
      </c>
      <c r="J318" s="26">
        <v>3</v>
      </c>
      <c r="K318" s="85">
        <v>42156</v>
      </c>
      <c r="L318" s="250"/>
      <c r="M318" s="253"/>
      <c r="U318" s="218">
        <v>56</v>
      </c>
      <c r="V318" s="19" t="s">
        <v>244</v>
      </c>
      <c r="W318" s="19"/>
      <c r="X318" s="241"/>
    </row>
    <row r="319" spans="1:24" ht="45" x14ac:dyDescent="0.25">
      <c r="A319" s="224" t="s">
        <v>138</v>
      </c>
      <c r="B319" s="160" t="s">
        <v>284</v>
      </c>
      <c r="C319" s="160" t="s">
        <v>164</v>
      </c>
      <c r="D319" s="160" t="s">
        <v>260</v>
      </c>
      <c r="E319" s="161" t="s">
        <v>35</v>
      </c>
      <c r="F319" s="96"/>
      <c r="G319" s="96"/>
      <c r="H319" s="96"/>
      <c r="I319" s="25">
        <v>3</v>
      </c>
      <c r="J319" s="26">
        <v>3</v>
      </c>
      <c r="K319" s="85">
        <v>42156</v>
      </c>
      <c r="L319" s="250"/>
      <c r="M319" s="253"/>
      <c r="U319" s="218">
        <v>57</v>
      </c>
      <c r="V319" s="19" t="s">
        <v>244</v>
      </c>
      <c r="W319" s="19"/>
      <c r="X319" s="241"/>
    </row>
    <row r="320" spans="1:24" ht="45" x14ac:dyDescent="0.25">
      <c r="A320" s="224" t="s">
        <v>138</v>
      </c>
      <c r="B320" s="160" t="s">
        <v>284</v>
      </c>
      <c r="C320" s="160" t="s">
        <v>164</v>
      </c>
      <c r="D320" s="160" t="s">
        <v>249</v>
      </c>
      <c r="E320" s="162" t="s">
        <v>36</v>
      </c>
      <c r="F320" s="127"/>
      <c r="G320" s="98"/>
      <c r="H320" s="98"/>
      <c r="I320" s="25">
        <v>3</v>
      </c>
      <c r="J320" s="26">
        <v>3</v>
      </c>
      <c r="K320" s="85">
        <v>42156</v>
      </c>
      <c r="L320" s="250"/>
      <c r="M320" s="253"/>
      <c r="U320" s="218">
        <v>58</v>
      </c>
      <c r="V320" s="19" t="s">
        <v>244</v>
      </c>
      <c r="W320" s="19"/>
      <c r="X320" s="241"/>
    </row>
    <row r="321" spans="1:24" ht="45" x14ac:dyDescent="0.25">
      <c r="A321" s="224" t="s">
        <v>138</v>
      </c>
      <c r="B321" s="160" t="s">
        <v>284</v>
      </c>
      <c r="C321" s="160" t="s">
        <v>164</v>
      </c>
      <c r="D321" s="160" t="s">
        <v>261</v>
      </c>
      <c r="E321" s="47" t="s">
        <v>37</v>
      </c>
      <c r="F321" s="126"/>
      <c r="G321" s="97"/>
      <c r="H321" s="97"/>
      <c r="I321" s="26">
        <v>3</v>
      </c>
      <c r="J321" s="26">
        <v>3</v>
      </c>
      <c r="K321" s="85">
        <v>42156</v>
      </c>
      <c r="L321" s="250"/>
      <c r="M321" s="253"/>
      <c r="U321" s="218">
        <v>59</v>
      </c>
      <c r="V321" s="19" t="s">
        <v>244</v>
      </c>
      <c r="W321" s="19"/>
      <c r="X321" s="241"/>
    </row>
    <row r="322" spans="1:24" ht="45.75" thickBot="1" x14ac:dyDescent="0.3">
      <c r="A322" s="225" t="s">
        <v>138</v>
      </c>
      <c r="B322" s="163" t="s">
        <v>284</v>
      </c>
      <c r="C322" s="163" t="s">
        <v>164</v>
      </c>
      <c r="D322" s="163" t="s">
        <v>262</v>
      </c>
      <c r="E322" s="164" t="s">
        <v>38</v>
      </c>
      <c r="F322" s="128"/>
      <c r="G322" s="129"/>
      <c r="H322" s="129"/>
      <c r="I322" s="31">
        <v>2</v>
      </c>
      <c r="J322" s="31">
        <v>3</v>
      </c>
      <c r="K322" s="86">
        <v>42156</v>
      </c>
      <c r="L322" s="251"/>
      <c r="M322" s="254"/>
      <c r="U322" s="218">
        <v>60</v>
      </c>
      <c r="V322" s="19" t="s">
        <v>244</v>
      </c>
      <c r="W322" s="19"/>
      <c r="X322" s="241"/>
    </row>
    <row r="323" spans="1:24" ht="45.75" thickTop="1" x14ac:dyDescent="0.25">
      <c r="A323" s="226" t="s">
        <v>138</v>
      </c>
      <c r="B323" s="165" t="s">
        <v>284</v>
      </c>
      <c r="C323" s="165" t="s">
        <v>165</v>
      </c>
      <c r="D323" s="165" t="s">
        <v>250</v>
      </c>
      <c r="E323" s="166" t="s">
        <v>348</v>
      </c>
      <c r="F323" s="130"/>
      <c r="G323" s="130"/>
      <c r="H323" s="130"/>
      <c r="I323" s="32">
        <v>2</v>
      </c>
      <c r="J323" s="32">
        <v>2</v>
      </c>
      <c r="K323" s="203">
        <v>42156</v>
      </c>
      <c r="L323" s="249" t="str">
        <f t="shared" ref="L323:M323" si="21">CONCATENATE("Level"," ",MIN(I323:I332))</f>
        <v>Level 1</v>
      </c>
      <c r="M323" s="252" t="str">
        <f t="shared" si="21"/>
        <v>Level 2</v>
      </c>
      <c r="U323" s="218">
        <v>1</v>
      </c>
      <c r="V323" s="19" t="s">
        <v>244</v>
      </c>
      <c r="W323" s="19"/>
      <c r="X323" s="241"/>
    </row>
    <row r="324" spans="1:24" ht="45" x14ac:dyDescent="0.25">
      <c r="A324" s="228" t="s">
        <v>138</v>
      </c>
      <c r="B324" s="199" t="s">
        <v>284</v>
      </c>
      <c r="C324" s="199" t="s">
        <v>165</v>
      </c>
      <c r="D324" s="199" t="s">
        <v>266</v>
      </c>
      <c r="E324" s="200" t="s">
        <v>348</v>
      </c>
      <c r="F324" s="201"/>
      <c r="G324" s="201"/>
      <c r="H324" s="201"/>
      <c r="I324" s="202">
        <v>2</v>
      </c>
      <c r="J324" s="202">
        <v>3</v>
      </c>
      <c r="K324" s="88">
        <v>42156</v>
      </c>
      <c r="L324" s="250"/>
      <c r="M324" s="253"/>
      <c r="U324" s="218">
        <v>2</v>
      </c>
      <c r="V324" s="19" t="s">
        <v>244</v>
      </c>
      <c r="W324" s="19"/>
      <c r="X324" s="241"/>
    </row>
    <row r="325" spans="1:24" ht="75" x14ac:dyDescent="0.25">
      <c r="A325" s="228" t="s">
        <v>138</v>
      </c>
      <c r="B325" s="199" t="s">
        <v>284</v>
      </c>
      <c r="C325" s="199" t="s">
        <v>165</v>
      </c>
      <c r="D325" s="199" t="s">
        <v>252</v>
      </c>
      <c r="E325" s="200" t="s">
        <v>348</v>
      </c>
      <c r="F325" s="201"/>
      <c r="G325" s="201"/>
      <c r="H325" s="201"/>
      <c r="I325" s="202">
        <v>2</v>
      </c>
      <c r="J325" s="202">
        <v>2</v>
      </c>
      <c r="K325" s="88">
        <v>42156</v>
      </c>
      <c r="L325" s="250"/>
      <c r="M325" s="253"/>
      <c r="U325" s="218">
        <v>3</v>
      </c>
      <c r="V325" s="19" t="s">
        <v>244</v>
      </c>
      <c r="W325" s="19"/>
      <c r="X325" s="241"/>
    </row>
    <row r="326" spans="1:24" ht="45" x14ac:dyDescent="0.25">
      <c r="A326" s="228" t="s">
        <v>138</v>
      </c>
      <c r="B326" s="199" t="s">
        <v>284</v>
      </c>
      <c r="C326" s="199" t="s">
        <v>165</v>
      </c>
      <c r="D326" s="199" t="s">
        <v>259</v>
      </c>
      <c r="E326" s="200" t="s">
        <v>0</v>
      </c>
      <c r="F326" s="201"/>
      <c r="G326" s="201"/>
      <c r="H326" s="201"/>
      <c r="I326" s="202">
        <v>1</v>
      </c>
      <c r="J326" s="202">
        <v>2</v>
      </c>
      <c r="K326" s="88">
        <v>42156</v>
      </c>
      <c r="L326" s="250"/>
      <c r="M326" s="253"/>
      <c r="U326" s="218">
        <v>55</v>
      </c>
      <c r="V326" s="19" t="s">
        <v>244</v>
      </c>
      <c r="W326" s="19"/>
      <c r="X326" s="241"/>
    </row>
    <row r="327" spans="1:24" ht="45" x14ac:dyDescent="0.25">
      <c r="A327" s="227" t="s">
        <v>138</v>
      </c>
      <c r="B327" s="167" t="s">
        <v>284</v>
      </c>
      <c r="C327" s="167" t="s">
        <v>165</v>
      </c>
      <c r="D327" s="167" t="s">
        <v>247</v>
      </c>
      <c r="E327" s="50" t="s">
        <v>34</v>
      </c>
      <c r="F327" s="131"/>
      <c r="G327" s="92"/>
      <c r="H327" s="92"/>
      <c r="I327" s="6">
        <v>2</v>
      </c>
      <c r="J327" s="5">
        <v>3</v>
      </c>
      <c r="K327" s="88">
        <v>42156</v>
      </c>
      <c r="L327" s="250"/>
      <c r="M327" s="253"/>
      <c r="U327" s="218">
        <v>56</v>
      </c>
      <c r="V327" s="19" t="s">
        <v>244</v>
      </c>
      <c r="W327" s="19"/>
      <c r="X327" s="241"/>
    </row>
    <row r="328" spans="1:24" ht="45" x14ac:dyDescent="0.25">
      <c r="A328" s="227" t="s">
        <v>138</v>
      </c>
      <c r="B328" s="167" t="s">
        <v>284</v>
      </c>
      <c r="C328" s="167" t="s">
        <v>165</v>
      </c>
      <c r="D328" s="167" t="s">
        <v>248</v>
      </c>
      <c r="E328" s="50" t="s">
        <v>34</v>
      </c>
      <c r="F328" s="131"/>
      <c r="G328" s="92"/>
      <c r="H328" s="92"/>
      <c r="I328" s="6">
        <v>2</v>
      </c>
      <c r="J328" s="5">
        <v>3</v>
      </c>
      <c r="K328" s="88">
        <v>42156</v>
      </c>
      <c r="L328" s="250"/>
      <c r="M328" s="253"/>
      <c r="U328" s="218">
        <v>56</v>
      </c>
      <c r="V328" s="19" t="s">
        <v>244</v>
      </c>
      <c r="W328" s="19"/>
      <c r="X328" s="241"/>
    </row>
    <row r="329" spans="1:24" ht="45" x14ac:dyDescent="0.25">
      <c r="A329" s="227" t="s">
        <v>138</v>
      </c>
      <c r="B329" s="167" t="s">
        <v>284</v>
      </c>
      <c r="C329" s="167" t="s">
        <v>165</v>
      </c>
      <c r="D329" s="167" t="s">
        <v>260</v>
      </c>
      <c r="E329" s="168" t="s">
        <v>35</v>
      </c>
      <c r="F329" s="93"/>
      <c r="G329" s="93"/>
      <c r="H329" s="93"/>
      <c r="I329" s="6">
        <v>2</v>
      </c>
      <c r="J329" s="5">
        <v>3</v>
      </c>
      <c r="K329" s="88">
        <v>42156</v>
      </c>
      <c r="L329" s="250"/>
      <c r="M329" s="253"/>
      <c r="U329" s="218">
        <v>57</v>
      </c>
      <c r="V329" s="19" t="s">
        <v>244</v>
      </c>
      <c r="W329" s="19"/>
      <c r="X329" s="241"/>
    </row>
    <row r="330" spans="1:24" ht="45" x14ac:dyDescent="0.25">
      <c r="A330" s="227" t="s">
        <v>138</v>
      </c>
      <c r="B330" s="167" t="s">
        <v>284</v>
      </c>
      <c r="C330" s="167" t="s">
        <v>165</v>
      </c>
      <c r="D330" s="167" t="s">
        <v>249</v>
      </c>
      <c r="E330" s="169" t="s">
        <v>36</v>
      </c>
      <c r="F330" s="132"/>
      <c r="G330" s="91"/>
      <c r="H330" s="91"/>
      <c r="I330" s="6">
        <v>2</v>
      </c>
      <c r="J330" s="5">
        <v>3</v>
      </c>
      <c r="K330" s="88">
        <v>42156</v>
      </c>
      <c r="L330" s="250"/>
      <c r="M330" s="253"/>
      <c r="U330" s="218">
        <v>58</v>
      </c>
      <c r="V330" s="19" t="s">
        <v>244</v>
      </c>
      <c r="W330" s="19"/>
      <c r="X330" s="241"/>
    </row>
    <row r="331" spans="1:24" ht="45" x14ac:dyDescent="0.25">
      <c r="A331" s="227" t="s">
        <v>138</v>
      </c>
      <c r="B331" s="167" t="s">
        <v>284</v>
      </c>
      <c r="C331" s="167" t="s">
        <v>165</v>
      </c>
      <c r="D331" s="167" t="s">
        <v>261</v>
      </c>
      <c r="E331" s="50" t="s">
        <v>37</v>
      </c>
      <c r="F331" s="131"/>
      <c r="G331" s="92"/>
      <c r="H331" s="92"/>
      <c r="I331" s="5">
        <v>2</v>
      </c>
      <c r="J331" s="5">
        <v>2</v>
      </c>
      <c r="K331" s="88">
        <v>42156</v>
      </c>
      <c r="L331" s="250"/>
      <c r="M331" s="253"/>
      <c r="U331" s="218">
        <v>59</v>
      </c>
      <c r="V331" s="19" t="s">
        <v>244</v>
      </c>
      <c r="W331" s="19"/>
      <c r="X331" s="241"/>
    </row>
    <row r="332" spans="1:24" ht="45.75" thickBot="1" x14ac:dyDescent="0.3">
      <c r="A332" s="229" t="s">
        <v>138</v>
      </c>
      <c r="B332" s="170" t="s">
        <v>284</v>
      </c>
      <c r="C332" s="170" t="s">
        <v>165</v>
      </c>
      <c r="D332" s="170" t="s">
        <v>262</v>
      </c>
      <c r="E332" s="171" t="s">
        <v>38</v>
      </c>
      <c r="F332" s="133"/>
      <c r="G332" s="101"/>
      <c r="H332" s="101"/>
      <c r="I332" s="33">
        <v>2</v>
      </c>
      <c r="J332" s="33">
        <v>3</v>
      </c>
      <c r="K332" s="89">
        <v>42156</v>
      </c>
      <c r="L332" s="251"/>
      <c r="M332" s="254"/>
      <c r="U332" s="218">
        <v>60</v>
      </c>
      <c r="V332" s="19" t="s">
        <v>244</v>
      </c>
      <c r="W332" s="19"/>
      <c r="X332" s="241"/>
    </row>
    <row r="333" spans="1:24" ht="45.75" thickTop="1" x14ac:dyDescent="0.25">
      <c r="A333" s="231" t="s">
        <v>139</v>
      </c>
      <c r="B333" s="158" t="s">
        <v>293</v>
      </c>
      <c r="C333" s="158" t="s">
        <v>166</v>
      </c>
      <c r="D333" s="158" t="s">
        <v>250</v>
      </c>
      <c r="E333" s="159" t="s">
        <v>348</v>
      </c>
      <c r="F333" s="63"/>
      <c r="G333" s="63"/>
      <c r="H333" s="63"/>
      <c r="I333" s="30">
        <v>2</v>
      </c>
      <c r="J333" s="30">
        <v>3</v>
      </c>
      <c r="K333" s="233">
        <v>42156</v>
      </c>
      <c r="L333" s="249" t="str">
        <f t="shared" ref="L333:M333" si="22">CONCATENATE("Level"," ",MIN(I333:I345))</f>
        <v>Level 2</v>
      </c>
      <c r="M333" s="252" t="str">
        <f t="shared" si="22"/>
        <v>Level 2</v>
      </c>
      <c r="U333" s="218">
        <v>1</v>
      </c>
      <c r="V333" s="19" t="s">
        <v>244</v>
      </c>
      <c r="W333" s="19"/>
      <c r="X333" s="241"/>
    </row>
    <row r="334" spans="1:24" ht="45" x14ac:dyDescent="0.25">
      <c r="A334" s="230" t="s">
        <v>139</v>
      </c>
      <c r="B334" s="190" t="s">
        <v>293</v>
      </c>
      <c r="C334" s="190" t="s">
        <v>166</v>
      </c>
      <c r="D334" s="190" t="s">
        <v>292</v>
      </c>
      <c r="E334" s="191" t="s">
        <v>348</v>
      </c>
      <c r="F334" s="192"/>
      <c r="G334" s="192"/>
      <c r="H334" s="192"/>
      <c r="I334" s="193">
        <v>2</v>
      </c>
      <c r="J334" s="193">
        <v>3</v>
      </c>
      <c r="K334" s="85">
        <v>42156</v>
      </c>
      <c r="L334" s="250"/>
      <c r="M334" s="253"/>
      <c r="U334" s="218">
        <v>25</v>
      </c>
      <c r="V334" s="19" t="s">
        <v>244</v>
      </c>
      <c r="W334" s="19"/>
      <c r="X334" s="241"/>
    </row>
    <row r="335" spans="1:24" ht="90" x14ac:dyDescent="0.25">
      <c r="A335" s="230" t="s">
        <v>139</v>
      </c>
      <c r="B335" s="190" t="s">
        <v>293</v>
      </c>
      <c r="C335" s="190" t="s">
        <v>166</v>
      </c>
      <c r="D335" s="190" t="s">
        <v>291</v>
      </c>
      <c r="E335" s="191" t="s">
        <v>348</v>
      </c>
      <c r="F335" s="192"/>
      <c r="G335" s="192"/>
      <c r="H335" s="192"/>
      <c r="I335" s="193">
        <v>3</v>
      </c>
      <c r="J335" s="193">
        <v>3</v>
      </c>
      <c r="K335" s="85">
        <v>42156</v>
      </c>
      <c r="L335" s="250"/>
      <c r="M335" s="253"/>
      <c r="U335" s="218">
        <v>26</v>
      </c>
      <c r="V335" s="19" t="s">
        <v>244</v>
      </c>
      <c r="W335" s="19"/>
      <c r="X335" s="241"/>
    </row>
    <row r="336" spans="1:24" ht="45" x14ac:dyDescent="0.25">
      <c r="A336" s="230" t="s">
        <v>139</v>
      </c>
      <c r="B336" s="190" t="s">
        <v>293</v>
      </c>
      <c r="C336" s="190" t="s">
        <v>166</v>
      </c>
      <c r="D336" s="190" t="s">
        <v>279</v>
      </c>
      <c r="E336" s="191" t="s">
        <v>348</v>
      </c>
      <c r="F336" s="192"/>
      <c r="G336" s="192"/>
      <c r="H336" s="192"/>
      <c r="I336" s="193">
        <v>2</v>
      </c>
      <c r="J336" s="193">
        <v>2</v>
      </c>
      <c r="K336" s="85">
        <v>42156</v>
      </c>
      <c r="L336" s="250"/>
      <c r="M336" s="253"/>
      <c r="U336" s="218">
        <v>11</v>
      </c>
      <c r="V336" s="19" t="s">
        <v>244</v>
      </c>
      <c r="W336" s="19"/>
      <c r="X336" s="241"/>
    </row>
    <row r="337" spans="1:24" ht="45" x14ac:dyDescent="0.25">
      <c r="A337" s="230" t="s">
        <v>139</v>
      </c>
      <c r="B337" s="190" t="s">
        <v>293</v>
      </c>
      <c r="C337" s="190" t="s">
        <v>166</v>
      </c>
      <c r="D337" s="190" t="s">
        <v>266</v>
      </c>
      <c r="E337" s="191" t="s">
        <v>348</v>
      </c>
      <c r="F337" s="192"/>
      <c r="G337" s="192"/>
      <c r="H337" s="192"/>
      <c r="I337" s="193">
        <v>2</v>
      </c>
      <c r="J337" s="193">
        <v>2</v>
      </c>
      <c r="K337" s="85">
        <v>42156</v>
      </c>
      <c r="L337" s="250"/>
      <c r="M337" s="253"/>
      <c r="U337" s="218">
        <v>2</v>
      </c>
      <c r="V337" s="19" t="s">
        <v>244</v>
      </c>
      <c r="W337" s="19"/>
      <c r="X337" s="241"/>
    </row>
    <row r="338" spans="1:24" ht="75" x14ac:dyDescent="0.25">
      <c r="A338" s="230" t="s">
        <v>139</v>
      </c>
      <c r="B338" s="190" t="s">
        <v>293</v>
      </c>
      <c r="C338" s="190" t="s">
        <v>166</v>
      </c>
      <c r="D338" s="190" t="s">
        <v>252</v>
      </c>
      <c r="E338" s="191" t="s">
        <v>348</v>
      </c>
      <c r="F338" s="192"/>
      <c r="G338" s="192"/>
      <c r="H338" s="192"/>
      <c r="I338" s="193">
        <v>2</v>
      </c>
      <c r="J338" s="193">
        <v>2</v>
      </c>
      <c r="K338" s="85">
        <v>42156</v>
      </c>
      <c r="L338" s="250"/>
      <c r="M338" s="253"/>
      <c r="U338" s="218">
        <v>3</v>
      </c>
      <c r="V338" s="19" t="s">
        <v>244</v>
      </c>
      <c r="W338" s="19"/>
      <c r="X338" s="241"/>
    </row>
    <row r="339" spans="1:24" ht="45" x14ac:dyDescent="0.25">
      <c r="A339" s="230" t="s">
        <v>139</v>
      </c>
      <c r="B339" s="190" t="s">
        <v>293</v>
      </c>
      <c r="C339" s="190" t="s">
        <v>166</v>
      </c>
      <c r="D339" s="190" t="s">
        <v>263</v>
      </c>
      <c r="E339" s="191" t="s">
        <v>0</v>
      </c>
      <c r="F339" s="192"/>
      <c r="G339" s="192"/>
      <c r="H339" s="192"/>
      <c r="I339" s="193">
        <v>2</v>
      </c>
      <c r="J339" s="193">
        <v>2</v>
      </c>
      <c r="K339" s="85">
        <v>42156</v>
      </c>
      <c r="L339" s="250"/>
      <c r="M339" s="253"/>
      <c r="U339" s="218">
        <v>55</v>
      </c>
      <c r="V339" s="19" t="s">
        <v>244</v>
      </c>
      <c r="W339" s="19"/>
      <c r="X339" s="241"/>
    </row>
    <row r="340" spans="1:24" ht="45" x14ac:dyDescent="0.25">
      <c r="A340" s="230" t="s">
        <v>139</v>
      </c>
      <c r="B340" s="190" t="s">
        <v>293</v>
      </c>
      <c r="C340" s="190" t="s">
        <v>166</v>
      </c>
      <c r="D340" s="190" t="s">
        <v>247</v>
      </c>
      <c r="E340" s="47" t="s">
        <v>34</v>
      </c>
      <c r="F340" s="192"/>
      <c r="G340" s="192"/>
      <c r="H340" s="192"/>
      <c r="I340" s="193">
        <v>2</v>
      </c>
      <c r="J340" s="193">
        <v>2</v>
      </c>
      <c r="K340" s="85">
        <v>42156</v>
      </c>
      <c r="L340" s="250"/>
      <c r="M340" s="253"/>
      <c r="U340" s="218">
        <v>56</v>
      </c>
      <c r="V340" s="19" t="s">
        <v>244</v>
      </c>
      <c r="W340" s="19"/>
      <c r="X340" s="241"/>
    </row>
    <row r="341" spans="1:24" ht="45" x14ac:dyDescent="0.25">
      <c r="A341" s="224" t="s">
        <v>139</v>
      </c>
      <c r="B341" s="160" t="s">
        <v>293</v>
      </c>
      <c r="C341" s="160" t="s">
        <v>166</v>
      </c>
      <c r="D341" s="160" t="s">
        <v>248</v>
      </c>
      <c r="E341" s="47" t="s">
        <v>34</v>
      </c>
      <c r="F341" s="126"/>
      <c r="G341" s="97"/>
      <c r="H341" s="97"/>
      <c r="I341" s="25">
        <v>2</v>
      </c>
      <c r="J341" s="26">
        <v>3</v>
      </c>
      <c r="K341" s="85">
        <v>42156</v>
      </c>
      <c r="L341" s="250"/>
      <c r="M341" s="253"/>
      <c r="U341" s="218">
        <v>56</v>
      </c>
      <c r="V341" s="19" t="s">
        <v>244</v>
      </c>
      <c r="W341" s="19"/>
      <c r="X341" s="241"/>
    </row>
    <row r="342" spans="1:24" ht="45" x14ac:dyDescent="0.25">
      <c r="A342" s="224" t="s">
        <v>139</v>
      </c>
      <c r="B342" s="160" t="s">
        <v>293</v>
      </c>
      <c r="C342" s="160" t="s">
        <v>166</v>
      </c>
      <c r="D342" s="160" t="s">
        <v>260</v>
      </c>
      <c r="E342" s="161" t="s">
        <v>35</v>
      </c>
      <c r="F342" s="96"/>
      <c r="G342" s="96"/>
      <c r="H342" s="96"/>
      <c r="I342" s="25">
        <v>2</v>
      </c>
      <c r="J342" s="26">
        <v>3</v>
      </c>
      <c r="K342" s="85">
        <v>42156</v>
      </c>
      <c r="L342" s="250"/>
      <c r="M342" s="253"/>
      <c r="U342" s="218">
        <v>57</v>
      </c>
      <c r="V342" s="19" t="s">
        <v>244</v>
      </c>
      <c r="W342" s="19"/>
      <c r="X342" s="241"/>
    </row>
    <row r="343" spans="1:24" ht="45" x14ac:dyDescent="0.25">
      <c r="A343" s="224" t="s">
        <v>139</v>
      </c>
      <c r="B343" s="160" t="s">
        <v>293</v>
      </c>
      <c r="C343" s="160" t="s">
        <v>166</v>
      </c>
      <c r="D343" s="160" t="s">
        <v>249</v>
      </c>
      <c r="E343" s="162" t="s">
        <v>36</v>
      </c>
      <c r="F343" s="127"/>
      <c r="G343" s="98"/>
      <c r="H343" s="98"/>
      <c r="I343" s="25">
        <v>2</v>
      </c>
      <c r="J343" s="26">
        <v>3</v>
      </c>
      <c r="K343" s="85">
        <v>42156</v>
      </c>
      <c r="L343" s="250"/>
      <c r="M343" s="253"/>
      <c r="U343" s="218">
        <v>58</v>
      </c>
      <c r="V343" s="19" t="s">
        <v>244</v>
      </c>
      <c r="W343" s="19"/>
      <c r="X343" s="241"/>
    </row>
    <row r="344" spans="1:24" ht="45" x14ac:dyDescent="0.25">
      <c r="A344" s="224" t="s">
        <v>139</v>
      </c>
      <c r="B344" s="160" t="s">
        <v>293</v>
      </c>
      <c r="C344" s="160" t="s">
        <v>166</v>
      </c>
      <c r="D344" s="160" t="s">
        <v>261</v>
      </c>
      <c r="E344" s="47" t="s">
        <v>37</v>
      </c>
      <c r="F344" s="126"/>
      <c r="G344" s="97"/>
      <c r="H344" s="97"/>
      <c r="I344" s="26">
        <v>2</v>
      </c>
      <c r="J344" s="26">
        <v>2</v>
      </c>
      <c r="K344" s="85">
        <v>42156</v>
      </c>
      <c r="L344" s="250"/>
      <c r="M344" s="253"/>
      <c r="U344" s="218">
        <v>59</v>
      </c>
      <c r="V344" s="19" t="s">
        <v>244</v>
      </c>
      <c r="W344" s="19"/>
      <c r="X344" s="241"/>
    </row>
    <row r="345" spans="1:24" ht="45.75" thickBot="1" x14ac:dyDescent="0.3">
      <c r="A345" s="225" t="s">
        <v>139</v>
      </c>
      <c r="B345" s="163" t="s">
        <v>293</v>
      </c>
      <c r="C345" s="163" t="s">
        <v>166</v>
      </c>
      <c r="D345" s="163" t="s">
        <v>262</v>
      </c>
      <c r="E345" s="164" t="s">
        <v>38</v>
      </c>
      <c r="F345" s="128"/>
      <c r="G345" s="129"/>
      <c r="H345" s="129"/>
      <c r="I345" s="31">
        <v>2</v>
      </c>
      <c r="J345" s="31">
        <v>2</v>
      </c>
      <c r="K345" s="86">
        <v>42156</v>
      </c>
      <c r="L345" s="251"/>
      <c r="M345" s="254"/>
      <c r="U345" s="218">
        <v>60</v>
      </c>
      <c r="V345" s="19" t="s">
        <v>244</v>
      </c>
      <c r="W345" s="19"/>
      <c r="X345" s="241"/>
    </row>
    <row r="346" spans="1:24" ht="45.75" thickTop="1" x14ac:dyDescent="0.25">
      <c r="A346" s="226" t="s">
        <v>139</v>
      </c>
      <c r="B346" s="165" t="s">
        <v>293</v>
      </c>
      <c r="C346" s="165" t="s">
        <v>167</v>
      </c>
      <c r="D346" s="165" t="s">
        <v>250</v>
      </c>
      <c r="E346" s="166" t="s">
        <v>348</v>
      </c>
      <c r="F346" s="130"/>
      <c r="G346" s="130"/>
      <c r="H346" s="130"/>
      <c r="I346" s="32">
        <v>2</v>
      </c>
      <c r="J346" s="32">
        <v>3</v>
      </c>
      <c r="K346" s="203">
        <v>42156</v>
      </c>
      <c r="L346" s="249" t="str">
        <f t="shared" ref="L346:M346" si="23">CONCATENATE("Level"," ",MIN(I346:I358))</f>
        <v>Level 1</v>
      </c>
      <c r="M346" s="252" t="str">
        <f t="shared" si="23"/>
        <v>Level 2</v>
      </c>
      <c r="U346" s="218">
        <v>1</v>
      </c>
      <c r="V346" s="19" t="s">
        <v>244</v>
      </c>
      <c r="W346" s="19"/>
      <c r="X346" s="241"/>
    </row>
    <row r="347" spans="1:24" ht="75" x14ac:dyDescent="0.25">
      <c r="A347" s="228" t="s">
        <v>139</v>
      </c>
      <c r="B347" s="199" t="s">
        <v>293</v>
      </c>
      <c r="C347" s="199" t="s">
        <v>167</v>
      </c>
      <c r="D347" s="199" t="s">
        <v>294</v>
      </c>
      <c r="E347" s="200" t="s">
        <v>348</v>
      </c>
      <c r="F347" s="201"/>
      <c r="G347" s="201"/>
      <c r="H347" s="201"/>
      <c r="I347" s="202">
        <v>1</v>
      </c>
      <c r="J347" s="202">
        <v>2</v>
      </c>
      <c r="K347" s="88">
        <v>42156</v>
      </c>
      <c r="L347" s="250"/>
      <c r="M347" s="253"/>
      <c r="U347" s="218">
        <v>27</v>
      </c>
      <c r="V347" s="19" t="s">
        <v>244</v>
      </c>
      <c r="W347" s="19"/>
      <c r="X347" s="241"/>
    </row>
    <row r="348" spans="1:24" ht="45" x14ac:dyDescent="0.25">
      <c r="A348" s="228" t="s">
        <v>139</v>
      </c>
      <c r="B348" s="199" t="s">
        <v>293</v>
      </c>
      <c r="C348" s="199" t="s">
        <v>167</v>
      </c>
      <c r="D348" s="199" t="s">
        <v>295</v>
      </c>
      <c r="E348" s="200" t="s">
        <v>348</v>
      </c>
      <c r="F348" s="201"/>
      <c r="G348" s="201"/>
      <c r="H348" s="201"/>
      <c r="I348" s="202">
        <v>2</v>
      </c>
      <c r="J348" s="202">
        <v>3</v>
      </c>
      <c r="K348" s="88">
        <v>42156</v>
      </c>
      <c r="L348" s="250"/>
      <c r="M348" s="253"/>
      <c r="U348" s="218">
        <v>28</v>
      </c>
      <c r="V348" s="19" t="s">
        <v>244</v>
      </c>
      <c r="W348" s="19"/>
      <c r="X348" s="241"/>
    </row>
    <row r="349" spans="1:24" ht="45" x14ac:dyDescent="0.25">
      <c r="A349" s="228" t="s">
        <v>139</v>
      </c>
      <c r="B349" s="199" t="s">
        <v>293</v>
      </c>
      <c r="C349" s="199" t="s">
        <v>167</v>
      </c>
      <c r="D349" s="199" t="s">
        <v>266</v>
      </c>
      <c r="E349" s="200" t="s">
        <v>348</v>
      </c>
      <c r="F349" s="201"/>
      <c r="G349" s="201"/>
      <c r="H349" s="201"/>
      <c r="I349" s="202">
        <v>2</v>
      </c>
      <c r="J349" s="202">
        <v>3</v>
      </c>
      <c r="K349" s="88">
        <v>42156</v>
      </c>
      <c r="L349" s="250"/>
      <c r="M349" s="253"/>
      <c r="U349" s="218">
        <v>2</v>
      </c>
      <c r="V349" s="19" t="s">
        <v>244</v>
      </c>
      <c r="W349" s="19"/>
      <c r="X349" s="241"/>
    </row>
    <row r="350" spans="1:24" ht="60" x14ac:dyDescent="0.25">
      <c r="A350" s="228" t="s">
        <v>139</v>
      </c>
      <c r="B350" s="199" t="s">
        <v>293</v>
      </c>
      <c r="C350" s="199" t="s">
        <v>167</v>
      </c>
      <c r="D350" s="199" t="s">
        <v>296</v>
      </c>
      <c r="E350" s="200" t="s">
        <v>348</v>
      </c>
      <c r="F350" s="201"/>
      <c r="G350" s="201"/>
      <c r="H350" s="201"/>
      <c r="I350" s="202">
        <v>2</v>
      </c>
      <c r="J350" s="202">
        <v>2</v>
      </c>
      <c r="K350" s="88">
        <v>42156</v>
      </c>
      <c r="L350" s="250"/>
      <c r="M350" s="253"/>
      <c r="U350" s="218">
        <v>29</v>
      </c>
      <c r="V350" s="19" t="s">
        <v>244</v>
      </c>
      <c r="W350" s="19"/>
      <c r="X350" s="241"/>
    </row>
    <row r="351" spans="1:24" ht="75" x14ac:dyDescent="0.25">
      <c r="A351" s="228" t="s">
        <v>139</v>
      </c>
      <c r="B351" s="199" t="s">
        <v>293</v>
      </c>
      <c r="C351" s="199" t="s">
        <v>167</v>
      </c>
      <c r="D351" s="199" t="s">
        <v>252</v>
      </c>
      <c r="E351" s="200" t="s">
        <v>348</v>
      </c>
      <c r="F351" s="201"/>
      <c r="G351" s="201"/>
      <c r="H351" s="201"/>
      <c r="I351" s="202">
        <v>2</v>
      </c>
      <c r="J351" s="202">
        <v>3</v>
      </c>
      <c r="K351" s="88">
        <v>42156</v>
      </c>
      <c r="L351" s="250"/>
      <c r="M351" s="253"/>
      <c r="U351" s="218">
        <v>3</v>
      </c>
      <c r="V351" s="19" t="s">
        <v>244</v>
      </c>
      <c r="W351" s="19"/>
      <c r="X351" s="241"/>
    </row>
    <row r="352" spans="1:24" ht="45" x14ac:dyDescent="0.25">
      <c r="A352" s="228" t="s">
        <v>139</v>
      </c>
      <c r="B352" s="199" t="s">
        <v>293</v>
      </c>
      <c r="C352" s="199" t="s">
        <v>167</v>
      </c>
      <c r="D352" s="199" t="s">
        <v>259</v>
      </c>
      <c r="E352" s="200" t="s">
        <v>0</v>
      </c>
      <c r="F352" s="201"/>
      <c r="G352" s="201"/>
      <c r="H352" s="201"/>
      <c r="I352" s="202">
        <v>2</v>
      </c>
      <c r="J352" s="202">
        <v>3</v>
      </c>
      <c r="K352" s="88">
        <v>42156</v>
      </c>
      <c r="L352" s="250"/>
      <c r="M352" s="253"/>
      <c r="U352" s="218">
        <v>55</v>
      </c>
      <c r="V352" s="19" t="s">
        <v>244</v>
      </c>
      <c r="W352" s="19"/>
      <c r="X352" s="241"/>
    </row>
    <row r="353" spans="1:24" ht="45" x14ac:dyDescent="0.25">
      <c r="A353" s="228" t="s">
        <v>139</v>
      </c>
      <c r="B353" s="199" t="s">
        <v>293</v>
      </c>
      <c r="C353" s="199" t="s">
        <v>167</v>
      </c>
      <c r="D353" s="199" t="s">
        <v>247</v>
      </c>
      <c r="E353" s="50" t="s">
        <v>34</v>
      </c>
      <c r="F353" s="201"/>
      <c r="G353" s="201"/>
      <c r="H353" s="201"/>
      <c r="I353" s="202">
        <v>1</v>
      </c>
      <c r="J353" s="202">
        <v>2</v>
      </c>
      <c r="K353" s="88">
        <v>42156</v>
      </c>
      <c r="L353" s="250"/>
      <c r="M353" s="253"/>
      <c r="U353" s="218">
        <v>56</v>
      </c>
      <c r="V353" s="19" t="s">
        <v>244</v>
      </c>
      <c r="W353" s="19"/>
      <c r="X353" s="241"/>
    </row>
    <row r="354" spans="1:24" ht="45" x14ac:dyDescent="0.25">
      <c r="A354" s="227" t="s">
        <v>139</v>
      </c>
      <c r="B354" s="167" t="s">
        <v>293</v>
      </c>
      <c r="C354" s="167" t="s">
        <v>167</v>
      </c>
      <c r="D354" s="167" t="s">
        <v>248</v>
      </c>
      <c r="E354" s="50" t="s">
        <v>34</v>
      </c>
      <c r="F354" s="131"/>
      <c r="G354" s="92"/>
      <c r="H354" s="92"/>
      <c r="I354" s="6">
        <v>2</v>
      </c>
      <c r="J354" s="5">
        <v>3</v>
      </c>
      <c r="K354" s="88">
        <v>42156</v>
      </c>
      <c r="L354" s="250"/>
      <c r="M354" s="253"/>
      <c r="U354" s="218">
        <v>56</v>
      </c>
      <c r="V354" s="19" t="s">
        <v>244</v>
      </c>
      <c r="W354" s="19"/>
      <c r="X354" s="241"/>
    </row>
    <row r="355" spans="1:24" ht="45" x14ac:dyDescent="0.25">
      <c r="A355" s="227" t="s">
        <v>139</v>
      </c>
      <c r="B355" s="167" t="s">
        <v>293</v>
      </c>
      <c r="C355" s="167" t="s">
        <v>167</v>
      </c>
      <c r="D355" s="167" t="s">
        <v>260</v>
      </c>
      <c r="E355" s="168" t="s">
        <v>35</v>
      </c>
      <c r="F355" s="93"/>
      <c r="G355" s="93"/>
      <c r="H355" s="93"/>
      <c r="I355" s="6">
        <v>2</v>
      </c>
      <c r="J355" s="5">
        <v>4</v>
      </c>
      <c r="K355" s="88">
        <v>42156</v>
      </c>
      <c r="L355" s="250"/>
      <c r="M355" s="253"/>
      <c r="U355" s="218">
        <v>57</v>
      </c>
      <c r="V355" s="19" t="s">
        <v>244</v>
      </c>
      <c r="W355" s="19"/>
      <c r="X355" s="241"/>
    </row>
    <row r="356" spans="1:24" ht="45" x14ac:dyDescent="0.25">
      <c r="A356" s="227" t="s">
        <v>139</v>
      </c>
      <c r="B356" s="167" t="s">
        <v>293</v>
      </c>
      <c r="C356" s="167" t="s">
        <v>167</v>
      </c>
      <c r="D356" s="167" t="s">
        <v>249</v>
      </c>
      <c r="E356" s="169" t="s">
        <v>36</v>
      </c>
      <c r="F356" s="132"/>
      <c r="G356" s="91"/>
      <c r="H356" s="91"/>
      <c r="I356" s="6">
        <v>2</v>
      </c>
      <c r="J356" s="5">
        <v>3</v>
      </c>
      <c r="K356" s="88">
        <v>42156</v>
      </c>
      <c r="L356" s="250"/>
      <c r="M356" s="253"/>
      <c r="U356" s="218">
        <v>58</v>
      </c>
      <c r="V356" s="19" t="s">
        <v>244</v>
      </c>
      <c r="W356" s="19"/>
      <c r="X356" s="241"/>
    </row>
    <row r="357" spans="1:24" ht="45" x14ac:dyDescent="0.25">
      <c r="A357" s="227" t="s">
        <v>139</v>
      </c>
      <c r="B357" s="167" t="s">
        <v>293</v>
      </c>
      <c r="C357" s="167" t="s">
        <v>167</v>
      </c>
      <c r="D357" s="167" t="s">
        <v>261</v>
      </c>
      <c r="E357" s="50" t="s">
        <v>37</v>
      </c>
      <c r="F357" s="131"/>
      <c r="G357" s="92"/>
      <c r="H357" s="92"/>
      <c r="I357" s="5">
        <v>2</v>
      </c>
      <c r="J357" s="5">
        <v>3</v>
      </c>
      <c r="K357" s="88">
        <v>42156</v>
      </c>
      <c r="L357" s="250"/>
      <c r="M357" s="253"/>
      <c r="U357" s="218">
        <v>59</v>
      </c>
      <c r="V357" s="19" t="s">
        <v>244</v>
      </c>
      <c r="W357" s="19"/>
      <c r="X357" s="241"/>
    </row>
    <row r="358" spans="1:24" ht="45.75" thickBot="1" x14ac:dyDescent="0.3">
      <c r="A358" s="229" t="s">
        <v>139</v>
      </c>
      <c r="B358" s="170" t="s">
        <v>293</v>
      </c>
      <c r="C358" s="170" t="s">
        <v>167</v>
      </c>
      <c r="D358" s="170" t="s">
        <v>262</v>
      </c>
      <c r="E358" s="171" t="s">
        <v>38</v>
      </c>
      <c r="F358" s="133"/>
      <c r="G358" s="101"/>
      <c r="H358" s="101"/>
      <c r="I358" s="33">
        <v>2</v>
      </c>
      <c r="J358" s="33">
        <v>3</v>
      </c>
      <c r="K358" s="89">
        <v>42156</v>
      </c>
      <c r="L358" s="251"/>
      <c r="M358" s="254"/>
      <c r="U358" s="218">
        <v>60</v>
      </c>
      <c r="V358" s="19" t="s">
        <v>244</v>
      </c>
      <c r="W358" s="19"/>
      <c r="X358" s="241"/>
    </row>
    <row r="359" spans="1:24" ht="45.75" thickTop="1" x14ac:dyDescent="0.25">
      <c r="A359" s="231" t="s">
        <v>139</v>
      </c>
      <c r="B359" s="158" t="s">
        <v>293</v>
      </c>
      <c r="C359" s="158" t="s">
        <v>168</v>
      </c>
      <c r="D359" s="158" t="s">
        <v>250</v>
      </c>
      <c r="E359" s="159" t="s">
        <v>348</v>
      </c>
      <c r="F359" s="134"/>
      <c r="G359" s="134"/>
      <c r="H359" s="134"/>
      <c r="I359" s="34">
        <v>2</v>
      </c>
      <c r="J359" s="34">
        <v>3</v>
      </c>
      <c r="K359" s="233">
        <v>42156</v>
      </c>
      <c r="L359" s="249" t="str">
        <f t="shared" ref="L359:M359" si="24">CONCATENATE("Level"," ",MIN(I359:I369))</f>
        <v>Level 1</v>
      </c>
      <c r="M359" s="252" t="str">
        <f t="shared" si="24"/>
        <v>Level 2</v>
      </c>
      <c r="U359" s="218">
        <v>1</v>
      </c>
      <c r="V359" s="19" t="s">
        <v>244</v>
      </c>
      <c r="W359" s="19"/>
      <c r="X359" s="241"/>
    </row>
    <row r="360" spans="1:24" ht="60" x14ac:dyDescent="0.25">
      <c r="A360" s="230" t="s">
        <v>139</v>
      </c>
      <c r="B360" s="190" t="s">
        <v>293</v>
      </c>
      <c r="C360" s="190" t="s">
        <v>168</v>
      </c>
      <c r="D360" s="190" t="s">
        <v>309</v>
      </c>
      <c r="E360" s="191" t="s">
        <v>348</v>
      </c>
      <c r="F360" s="212"/>
      <c r="G360" s="212"/>
      <c r="H360" s="212"/>
      <c r="I360" s="213">
        <v>2</v>
      </c>
      <c r="J360" s="213">
        <v>3</v>
      </c>
      <c r="K360" s="85">
        <v>42156</v>
      </c>
      <c r="L360" s="250"/>
      <c r="M360" s="253"/>
      <c r="U360" s="218">
        <v>30</v>
      </c>
      <c r="V360" s="19" t="s">
        <v>244</v>
      </c>
      <c r="W360" s="19"/>
      <c r="X360" s="241"/>
    </row>
    <row r="361" spans="1:24" ht="45" x14ac:dyDescent="0.25">
      <c r="A361" s="230" t="s">
        <v>139</v>
      </c>
      <c r="B361" s="190" t="s">
        <v>293</v>
      </c>
      <c r="C361" s="190" t="s">
        <v>168</v>
      </c>
      <c r="D361" s="190" t="s">
        <v>295</v>
      </c>
      <c r="E361" s="191" t="s">
        <v>348</v>
      </c>
      <c r="F361" s="212"/>
      <c r="G361" s="212"/>
      <c r="H361" s="212"/>
      <c r="I361" s="213">
        <v>2</v>
      </c>
      <c r="J361" s="213">
        <v>2</v>
      </c>
      <c r="K361" s="85">
        <v>42156</v>
      </c>
      <c r="L361" s="250"/>
      <c r="M361" s="253"/>
      <c r="U361" s="218">
        <v>28</v>
      </c>
      <c r="V361" s="19" t="s">
        <v>244</v>
      </c>
      <c r="W361" s="19"/>
      <c r="X361" s="241"/>
    </row>
    <row r="362" spans="1:24" ht="45" x14ac:dyDescent="0.25">
      <c r="A362" s="230" t="s">
        <v>139</v>
      </c>
      <c r="B362" s="190" t="s">
        <v>293</v>
      </c>
      <c r="C362" s="190" t="s">
        <v>168</v>
      </c>
      <c r="D362" s="190" t="s">
        <v>266</v>
      </c>
      <c r="E362" s="191" t="s">
        <v>348</v>
      </c>
      <c r="F362" s="212"/>
      <c r="G362" s="212"/>
      <c r="H362" s="212"/>
      <c r="I362" s="213">
        <v>1</v>
      </c>
      <c r="J362" s="213">
        <v>2</v>
      </c>
      <c r="K362" s="85">
        <v>42156</v>
      </c>
      <c r="L362" s="250"/>
      <c r="M362" s="253"/>
      <c r="U362" s="218">
        <v>2</v>
      </c>
      <c r="V362" s="19" t="s">
        <v>244</v>
      </c>
      <c r="W362" s="19"/>
      <c r="X362" s="241"/>
    </row>
    <row r="363" spans="1:24" ht="75" x14ac:dyDescent="0.25">
      <c r="A363" s="230" t="s">
        <v>139</v>
      </c>
      <c r="B363" s="190" t="s">
        <v>293</v>
      </c>
      <c r="C363" s="190" t="s">
        <v>168</v>
      </c>
      <c r="D363" s="190" t="s">
        <v>252</v>
      </c>
      <c r="E363" s="191" t="s">
        <v>348</v>
      </c>
      <c r="F363" s="212"/>
      <c r="G363" s="212"/>
      <c r="H363" s="212"/>
      <c r="I363" s="213">
        <v>2</v>
      </c>
      <c r="J363" s="213">
        <v>3</v>
      </c>
      <c r="K363" s="85">
        <v>42156</v>
      </c>
      <c r="L363" s="250"/>
      <c r="M363" s="253"/>
      <c r="U363" s="218">
        <v>3</v>
      </c>
      <c r="V363" s="19" t="s">
        <v>244</v>
      </c>
      <c r="W363" s="19"/>
      <c r="X363" s="241"/>
    </row>
    <row r="364" spans="1:24" ht="165" x14ac:dyDescent="0.25">
      <c r="A364" s="230" t="s">
        <v>139</v>
      </c>
      <c r="B364" s="190" t="s">
        <v>293</v>
      </c>
      <c r="C364" s="190" t="s">
        <v>168</v>
      </c>
      <c r="D364" s="190" t="s">
        <v>311</v>
      </c>
      <c r="E364" s="191" t="s">
        <v>310</v>
      </c>
      <c r="F364" s="212"/>
      <c r="G364" s="212"/>
      <c r="H364" s="212"/>
      <c r="I364" s="213">
        <v>2</v>
      </c>
      <c r="J364" s="213">
        <v>3</v>
      </c>
      <c r="K364" s="85">
        <v>42156</v>
      </c>
      <c r="L364" s="250"/>
      <c r="M364" s="253"/>
      <c r="U364" s="218">
        <v>55</v>
      </c>
      <c r="V364" s="19" t="s">
        <v>244</v>
      </c>
      <c r="W364" s="19"/>
      <c r="X364" s="241"/>
    </row>
    <row r="365" spans="1:24" ht="45" x14ac:dyDescent="0.25">
      <c r="A365" s="224" t="s">
        <v>139</v>
      </c>
      <c r="B365" s="160" t="s">
        <v>293</v>
      </c>
      <c r="C365" s="160" t="s">
        <v>168</v>
      </c>
      <c r="D365" s="160" t="s">
        <v>247</v>
      </c>
      <c r="E365" s="47" t="s">
        <v>34</v>
      </c>
      <c r="F365" s="135"/>
      <c r="G365" s="135"/>
      <c r="H365" s="135"/>
      <c r="I365" s="27">
        <v>2</v>
      </c>
      <c r="J365" s="27">
        <v>3</v>
      </c>
      <c r="K365" s="85">
        <v>42156</v>
      </c>
      <c r="L365" s="250"/>
      <c r="M365" s="253"/>
      <c r="U365" s="218">
        <v>56</v>
      </c>
      <c r="V365" s="19" t="s">
        <v>244</v>
      </c>
      <c r="W365" s="19"/>
      <c r="X365" s="241"/>
    </row>
    <row r="366" spans="1:24" ht="45" x14ac:dyDescent="0.25">
      <c r="A366" s="224" t="s">
        <v>139</v>
      </c>
      <c r="B366" s="160" t="s">
        <v>293</v>
      </c>
      <c r="C366" s="160" t="s">
        <v>168</v>
      </c>
      <c r="D366" s="160" t="s">
        <v>260</v>
      </c>
      <c r="E366" s="161" t="s">
        <v>35</v>
      </c>
      <c r="F366" s="135"/>
      <c r="G366" s="135"/>
      <c r="H366" s="135"/>
      <c r="I366" s="27">
        <v>2</v>
      </c>
      <c r="J366" s="27">
        <v>3</v>
      </c>
      <c r="K366" s="85">
        <v>42156</v>
      </c>
      <c r="L366" s="250"/>
      <c r="M366" s="253"/>
      <c r="U366" s="218">
        <v>57</v>
      </c>
      <c r="V366" s="19" t="s">
        <v>244</v>
      </c>
      <c r="W366" s="19"/>
      <c r="X366" s="241"/>
    </row>
    <row r="367" spans="1:24" ht="45" x14ac:dyDescent="0.25">
      <c r="A367" s="224" t="s">
        <v>139</v>
      </c>
      <c r="B367" s="160" t="s">
        <v>293</v>
      </c>
      <c r="C367" s="160" t="s">
        <v>168</v>
      </c>
      <c r="D367" s="160" t="s">
        <v>249</v>
      </c>
      <c r="E367" s="162" t="s">
        <v>36</v>
      </c>
      <c r="F367" s="135"/>
      <c r="G367" s="135"/>
      <c r="H367" s="135"/>
      <c r="I367" s="27">
        <v>2</v>
      </c>
      <c r="J367" s="27">
        <v>3</v>
      </c>
      <c r="K367" s="85">
        <v>42156</v>
      </c>
      <c r="L367" s="250"/>
      <c r="M367" s="253"/>
      <c r="U367" s="218">
        <v>58</v>
      </c>
      <c r="V367" s="19" t="s">
        <v>244</v>
      </c>
      <c r="W367" s="19"/>
      <c r="X367" s="241"/>
    </row>
    <row r="368" spans="1:24" ht="45" x14ac:dyDescent="0.25">
      <c r="A368" s="224" t="s">
        <v>139</v>
      </c>
      <c r="B368" s="160" t="s">
        <v>293</v>
      </c>
      <c r="C368" s="160" t="s">
        <v>168</v>
      </c>
      <c r="D368" s="160" t="s">
        <v>261</v>
      </c>
      <c r="E368" s="47" t="s">
        <v>37</v>
      </c>
      <c r="F368" s="135"/>
      <c r="G368" s="135"/>
      <c r="H368" s="135"/>
      <c r="I368" s="27">
        <v>2</v>
      </c>
      <c r="J368" s="27">
        <v>3</v>
      </c>
      <c r="K368" s="85">
        <v>42156</v>
      </c>
      <c r="L368" s="250"/>
      <c r="M368" s="253"/>
      <c r="U368" s="218">
        <v>59</v>
      </c>
      <c r="V368" s="19" t="s">
        <v>244</v>
      </c>
      <c r="W368" s="19"/>
      <c r="X368" s="241"/>
    </row>
    <row r="369" spans="1:24" ht="45.75" thickBot="1" x14ac:dyDescent="0.3">
      <c r="A369" s="225" t="s">
        <v>139</v>
      </c>
      <c r="B369" s="163" t="s">
        <v>293</v>
      </c>
      <c r="C369" s="163" t="s">
        <v>168</v>
      </c>
      <c r="D369" s="163" t="s">
        <v>262</v>
      </c>
      <c r="E369" s="164" t="s">
        <v>38</v>
      </c>
      <c r="F369" s="136"/>
      <c r="G369" s="136"/>
      <c r="H369" s="136"/>
      <c r="I369" s="35">
        <v>2</v>
      </c>
      <c r="J369" s="35">
        <v>3</v>
      </c>
      <c r="K369" s="86">
        <v>42156</v>
      </c>
      <c r="L369" s="251"/>
      <c r="M369" s="254"/>
      <c r="U369" s="218">
        <v>60</v>
      </c>
      <c r="V369" s="19" t="s">
        <v>244</v>
      </c>
      <c r="W369" s="19"/>
      <c r="X369" s="241"/>
    </row>
    <row r="370" spans="1:24" ht="45.75" thickTop="1" x14ac:dyDescent="0.25">
      <c r="A370" s="226" t="s">
        <v>139</v>
      </c>
      <c r="B370" s="165" t="s">
        <v>293</v>
      </c>
      <c r="C370" s="165" t="s">
        <v>169</v>
      </c>
      <c r="D370" s="165" t="s">
        <v>250</v>
      </c>
      <c r="E370" s="166" t="s">
        <v>348</v>
      </c>
      <c r="F370" s="130"/>
      <c r="G370" s="130"/>
      <c r="H370" s="130"/>
      <c r="I370" s="32">
        <v>2</v>
      </c>
      <c r="J370" s="32">
        <v>2</v>
      </c>
      <c r="K370" s="203">
        <v>42156</v>
      </c>
      <c r="L370" s="249" t="str">
        <f t="shared" ref="L370:M370" si="25">CONCATENATE("Level"," ",MIN(I370:I380))</f>
        <v>Level 2</v>
      </c>
      <c r="M370" s="252" t="str">
        <f t="shared" si="25"/>
        <v>Level 2</v>
      </c>
      <c r="U370" s="218">
        <v>1</v>
      </c>
      <c r="V370" s="19" t="s">
        <v>244</v>
      </c>
      <c r="W370" s="19"/>
      <c r="X370" s="241"/>
    </row>
    <row r="371" spans="1:24" ht="45" x14ac:dyDescent="0.25">
      <c r="A371" s="228" t="s">
        <v>139</v>
      </c>
      <c r="B371" s="199" t="s">
        <v>293</v>
      </c>
      <c r="C371" s="199" t="s">
        <v>169</v>
      </c>
      <c r="D371" s="199" t="s">
        <v>295</v>
      </c>
      <c r="E371" s="200" t="s">
        <v>348</v>
      </c>
      <c r="F371" s="201"/>
      <c r="G371" s="201"/>
      <c r="H371" s="201"/>
      <c r="I371" s="202">
        <v>2</v>
      </c>
      <c r="J371" s="202">
        <v>2</v>
      </c>
      <c r="K371" s="88">
        <v>42156</v>
      </c>
      <c r="L371" s="250"/>
      <c r="M371" s="253"/>
      <c r="U371" s="218">
        <v>28</v>
      </c>
      <c r="V371" s="19" t="s">
        <v>244</v>
      </c>
      <c r="W371" s="19"/>
      <c r="X371" s="241"/>
    </row>
    <row r="372" spans="1:24" ht="45" x14ac:dyDescent="0.25">
      <c r="A372" s="228" t="s">
        <v>139</v>
      </c>
      <c r="B372" s="199" t="s">
        <v>293</v>
      </c>
      <c r="C372" s="199" t="s">
        <v>169</v>
      </c>
      <c r="D372" s="199" t="s">
        <v>266</v>
      </c>
      <c r="E372" s="200" t="s">
        <v>348</v>
      </c>
      <c r="F372" s="201"/>
      <c r="G372" s="201"/>
      <c r="H372" s="201"/>
      <c r="I372" s="202">
        <v>2</v>
      </c>
      <c r="J372" s="202">
        <v>2</v>
      </c>
      <c r="K372" s="88">
        <v>42156</v>
      </c>
      <c r="L372" s="250"/>
      <c r="M372" s="253"/>
      <c r="U372" s="218">
        <v>2</v>
      </c>
      <c r="V372" s="19" t="s">
        <v>244</v>
      </c>
      <c r="W372" s="19"/>
      <c r="X372" s="241"/>
    </row>
    <row r="373" spans="1:24" ht="75" x14ac:dyDescent="0.25">
      <c r="A373" s="228" t="s">
        <v>139</v>
      </c>
      <c r="B373" s="199" t="s">
        <v>293</v>
      </c>
      <c r="C373" s="199" t="s">
        <v>169</v>
      </c>
      <c r="D373" s="199" t="s">
        <v>252</v>
      </c>
      <c r="E373" s="200" t="s">
        <v>348</v>
      </c>
      <c r="F373" s="201"/>
      <c r="G373" s="201"/>
      <c r="H373" s="201"/>
      <c r="I373" s="202">
        <v>2</v>
      </c>
      <c r="J373" s="202">
        <v>2</v>
      </c>
      <c r="K373" s="88">
        <v>42156</v>
      </c>
      <c r="L373" s="250"/>
      <c r="M373" s="253"/>
      <c r="U373" s="218">
        <v>3</v>
      </c>
      <c r="V373" s="19" t="s">
        <v>244</v>
      </c>
      <c r="W373" s="19"/>
      <c r="X373" s="241"/>
    </row>
    <row r="374" spans="1:24" ht="45" x14ac:dyDescent="0.25">
      <c r="A374" s="228" t="s">
        <v>139</v>
      </c>
      <c r="B374" s="199" t="s">
        <v>293</v>
      </c>
      <c r="C374" s="199" t="s">
        <v>169</v>
      </c>
      <c r="D374" s="199" t="s">
        <v>263</v>
      </c>
      <c r="E374" s="200" t="s">
        <v>0</v>
      </c>
      <c r="F374" s="201"/>
      <c r="G374" s="201"/>
      <c r="H374" s="201"/>
      <c r="I374" s="202">
        <v>3</v>
      </c>
      <c r="J374" s="202">
        <v>3</v>
      </c>
      <c r="K374" s="88">
        <v>42156</v>
      </c>
      <c r="L374" s="250"/>
      <c r="M374" s="253"/>
      <c r="U374" s="218">
        <v>55</v>
      </c>
      <c r="V374" s="19" t="s">
        <v>244</v>
      </c>
      <c r="W374" s="19"/>
      <c r="X374" s="241"/>
    </row>
    <row r="375" spans="1:24" ht="45" x14ac:dyDescent="0.25">
      <c r="A375" s="227" t="s">
        <v>139</v>
      </c>
      <c r="B375" s="167" t="s">
        <v>293</v>
      </c>
      <c r="C375" s="167" t="s">
        <v>169</v>
      </c>
      <c r="D375" s="167" t="s">
        <v>247</v>
      </c>
      <c r="E375" s="50" t="s">
        <v>34</v>
      </c>
      <c r="F375" s="131"/>
      <c r="G375" s="92"/>
      <c r="H375" s="92"/>
      <c r="I375" s="6">
        <v>3</v>
      </c>
      <c r="J375" s="5">
        <v>3</v>
      </c>
      <c r="K375" s="88">
        <v>42156</v>
      </c>
      <c r="L375" s="250"/>
      <c r="M375" s="253"/>
      <c r="U375" s="218">
        <v>56</v>
      </c>
      <c r="V375" s="19" t="s">
        <v>244</v>
      </c>
      <c r="W375" s="19"/>
      <c r="X375" s="241"/>
    </row>
    <row r="376" spans="1:24" ht="45" x14ac:dyDescent="0.25">
      <c r="A376" s="227" t="s">
        <v>139</v>
      </c>
      <c r="B376" s="167" t="s">
        <v>293</v>
      </c>
      <c r="C376" s="167" t="s">
        <v>169</v>
      </c>
      <c r="D376" s="167" t="s">
        <v>248</v>
      </c>
      <c r="E376" s="50" t="s">
        <v>34</v>
      </c>
      <c r="F376" s="131"/>
      <c r="G376" s="92"/>
      <c r="H376" s="92"/>
      <c r="I376" s="6">
        <v>3</v>
      </c>
      <c r="J376" s="5">
        <v>3</v>
      </c>
      <c r="K376" s="88">
        <v>42156</v>
      </c>
      <c r="L376" s="250"/>
      <c r="M376" s="253"/>
      <c r="U376" s="218">
        <v>56</v>
      </c>
      <c r="V376" s="19" t="s">
        <v>244</v>
      </c>
      <c r="W376" s="19"/>
      <c r="X376" s="241"/>
    </row>
    <row r="377" spans="1:24" ht="45" x14ac:dyDescent="0.25">
      <c r="A377" s="227" t="s">
        <v>139</v>
      </c>
      <c r="B377" s="167" t="s">
        <v>293</v>
      </c>
      <c r="C377" s="167" t="s">
        <v>169</v>
      </c>
      <c r="D377" s="167" t="s">
        <v>260</v>
      </c>
      <c r="E377" s="168" t="s">
        <v>35</v>
      </c>
      <c r="F377" s="93"/>
      <c r="G377" s="93"/>
      <c r="H377" s="93"/>
      <c r="I377" s="6">
        <v>3</v>
      </c>
      <c r="J377" s="5">
        <v>3</v>
      </c>
      <c r="K377" s="88">
        <v>42156</v>
      </c>
      <c r="L377" s="250"/>
      <c r="M377" s="253"/>
      <c r="U377" s="218">
        <v>57</v>
      </c>
      <c r="V377" s="19" t="s">
        <v>244</v>
      </c>
      <c r="W377" s="19"/>
      <c r="X377" s="241"/>
    </row>
    <row r="378" spans="1:24" ht="45" x14ac:dyDescent="0.25">
      <c r="A378" s="227" t="s">
        <v>139</v>
      </c>
      <c r="B378" s="167" t="s">
        <v>293</v>
      </c>
      <c r="C378" s="167" t="s">
        <v>169</v>
      </c>
      <c r="D378" s="167" t="s">
        <v>249</v>
      </c>
      <c r="E378" s="169" t="s">
        <v>36</v>
      </c>
      <c r="F378" s="132"/>
      <c r="G378" s="91"/>
      <c r="H378" s="91"/>
      <c r="I378" s="6">
        <v>3</v>
      </c>
      <c r="J378" s="5">
        <v>3</v>
      </c>
      <c r="K378" s="88">
        <v>42156</v>
      </c>
      <c r="L378" s="250"/>
      <c r="M378" s="253"/>
      <c r="U378" s="218">
        <v>58</v>
      </c>
      <c r="V378" s="19" t="s">
        <v>244</v>
      </c>
      <c r="W378" s="19"/>
      <c r="X378" s="241"/>
    </row>
    <row r="379" spans="1:24" ht="45" x14ac:dyDescent="0.25">
      <c r="A379" s="227" t="s">
        <v>139</v>
      </c>
      <c r="B379" s="167" t="s">
        <v>293</v>
      </c>
      <c r="C379" s="167" t="s">
        <v>169</v>
      </c>
      <c r="D379" s="167" t="s">
        <v>261</v>
      </c>
      <c r="E379" s="50" t="s">
        <v>37</v>
      </c>
      <c r="F379" s="131"/>
      <c r="G379" s="92"/>
      <c r="H379" s="92"/>
      <c r="I379" s="5">
        <v>3</v>
      </c>
      <c r="J379" s="5">
        <v>3</v>
      </c>
      <c r="K379" s="88">
        <v>42156</v>
      </c>
      <c r="L379" s="250"/>
      <c r="M379" s="253"/>
      <c r="U379" s="218">
        <v>59</v>
      </c>
      <c r="V379" s="19" t="s">
        <v>244</v>
      </c>
      <c r="W379" s="19"/>
      <c r="X379" s="241"/>
    </row>
    <row r="380" spans="1:24" ht="45.75" thickBot="1" x14ac:dyDescent="0.3">
      <c r="A380" s="229" t="s">
        <v>139</v>
      </c>
      <c r="B380" s="170" t="s">
        <v>293</v>
      </c>
      <c r="C380" s="170" t="s">
        <v>169</v>
      </c>
      <c r="D380" s="170" t="s">
        <v>262</v>
      </c>
      <c r="E380" s="171" t="s">
        <v>38</v>
      </c>
      <c r="F380" s="133"/>
      <c r="G380" s="101"/>
      <c r="H380" s="101"/>
      <c r="I380" s="33">
        <v>2</v>
      </c>
      <c r="J380" s="33">
        <v>2</v>
      </c>
      <c r="K380" s="89">
        <v>42156</v>
      </c>
      <c r="L380" s="251"/>
      <c r="M380" s="254"/>
      <c r="U380" s="218">
        <v>60</v>
      </c>
      <c r="V380" s="19" t="s">
        <v>244</v>
      </c>
      <c r="W380" s="19"/>
      <c r="X380" s="241"/>
    </row>
    <row r="381" spans="1:24" ht="45.75" thickTop="1" x14ac:dyDescent="0.25">
      <c r="A381" s="231" t="s">
        <v>139</v>
      </c>
      <c r="B381" s="158" t="s">
        <v>293</v>
      </c>
      <c r="C381" s="158" t="s">
        <v>170</v>
      </c>
      <c r="D381" s="158" t="s">
        <v>295</v>
      </c>
      <c r="E381" s="159" t="s">
        <v>348</v>
      </c>
      <c r="F381" s="63"/>
      <c r="G381" s="63"/>
      <c r="H381" s="63"/>
      <c r="I381" s="30">
        <v>2</v>
      </c>
      <c r="J381" s="30">
        <v>2</v>
      </c>
      <c r="K381" s="233">
        <v>42156</v>
      </c>
      <c r="L381" s="249" t="str">
        <f t="shared" ref="L381:M381" si="26">CONCATENATE("Level"," ",MIN(I381:I391))</f>
        <v>Level 1</v>
      </c>
      <c r="M381" s="252" t="str">
        <f t="shared" si="26"/>
        <v>Level 1</v>
      </c>
      <c r="U381" s="218">
        <v>28</v>
      </c>
      <c r="V381" s="19" t="s">
        <v>244</v>
      </c>
      <c r="W381" s="19"/>
      <c r="X381" s="241"/>
    </row>
    <row r="382" spans="1:24" ht="45" x14ac:dyDescent="0.25">
      <c r="A382" s="230" t="s">
        <v>139</v>
      </c>
      <c r="B382" s="190" t="s">
        <v>293</v>
      </c>
      <c r="C382" s="190" t="s">
        <v>170</v>
      </c>
      <c r="D382" s="190" t="s">
        <v>250</v>
      </c>
      <c r="E382" s="191" t="s">
        <v>348</v>
      </c>
      <c r="F382" s="192"/>
      <c r="G382" s="192"/>
      <c r="H382" s="192"/>
      <c r="I382" s="193">
        <v>2</v>
      </c>
      <c r="J382" s="193">
        <v>2</v>
      </c>
      <c r="K382" s="85">
        <v>42156</v>
      </c>
      <c r="L382" s="250"/>
      <c r="M382" s="253"/>
      <c r="U382" s="218">
        <v>1</v>
      </c>
      <c r="V382" s="19" t="s">
        <v>244</v>
      </c>
      <c r="W382" s="19"/>
      <c r="X382" s="241"/>
    </row>
    <row r="383" spans="1:24" ht="45" x14ac:dyDescent="0.25">
      <c r="A383" s="230" t="s">
        <v>139</v>
      </c>
      <c r="B383" s="190" t="s">
        <v>293</v>
      </c>
      <c r="C383" s="190" t="s">
        <v>170</v>
      </c>
      <c r="D383" s="190" t="s">
        <v>266</v>
      </c>
      <c r="E383" s="191" t="s">
        <v>348</v>
      </c>
      <c r="F383" s="192"/>
      <c r="G383" s="192"/>
      <c r="H383" s="192"/>
      <c r="I383" s="193">
        <v>2</v>
      </c>
      <c r="J383" s="193">
        <v>2</v>
      </c>
      <c r="K383" s="85">
        <v>42156</v>
      </c>
      <c r="L383" s="250"/>
      <c r="M383" s="253"/>
      <c r="U383" s="218">
        <v>2</v>
      </c>
      <c r="V383" s="19" t="s">
        <v>244</v>
      </c>
      <c r="W383" s="19"/>
      <c r="X383" s="241"/>
    </row>
    <row r="384" spans="1:24" ht="75" x14ac:dyDescent="0.25">
      <c r="A384" s="230" t="s">
        <v>139</v>
      </c>
      <c r="B384" s="190" t="s">
        <v>293</v>
      </c>
      <c r="C384" s="190" t="s">
        <v>170</v>
      </c>
      <c r="D384" s="190" t="s">
        <v>252</v>
      </c>
      <c r="E384" s="191" t="s">
        <v>348</v>
      </c>
      <c r="F384" s="192"/>
      <c r="G384" s="192"/>
      <c r="H384" s="192"/>
      <c r="I384" s="193">
        <v>1</v>
      </c>
      <c r="J384" s="193">
        <v>1</v>
      </c>
      <c r="K384" s="85">
        <v>42156</v>
      </c>
      <c r="L384" s="250"/>
      <c r="M384" s="253"/>
      <c r="U384" s="218">
        <v>3</v>
      </c>
      <c r="V384" s="19" t="s">
        <v>244</v>
      </c>
      <c r="W384" s="19"/>
      <c r="X384" s="241"/>
    </row>
    <row r="385" spans="1:24" ht="45" x14ac:dyDescent="0.25">
      <c r="A385" s="230" t="s">
        <v>139</v>
      </c>
      <c r="B385" s="190" t="s">
        <v>293</v>
      </c>
      <c r="C385" s="190" t="s">
        <v>170</v>
      </c>
      <c r="D385" s="190" t="s">
        <v>263</v>
      </c>
      <c r="E385" s="191" t="s">
        <v>0</v>
      </c>
      <c r="F385" s="192"/>
      <c r="G385" s="192"/>
      <c r="H385" s="192"/>
      <c r="I385" s="193">
        <v>2</v>
      </c>
      <c r="J385" s="193">
        <v>2</v>
      </c>
      <c r="K385" s="85">
        <v>42156</v>
      </c>
      <c r="L385" s="250"/>
      <c r="M385" s="253"/>
      <c r="U385" s="218">
        <v>55</v>
      </c>
      <c r="V385" s="19" t="s">
        <v>244</v>
      </c>
      <c r="W385" s="19"/>
      <c r="X385" s="241"/>
    </row>
    <row r="386" spans="1:24" ht="45" x14ac:dyDescent="0.25">
      <c r="A386" s="224" t="s">
        <v>139</v>
      </c>
      <c r="B386" s="160" t="s">
        <v>293</v>
      </c>
      <c r="C386" s="160" t="s">
        <v>170</v>
      </c>
      <c r="D386" s="160" t="s">
        <v>247</v>
      </c>
      <c r="E386" s="47" t="s">
        <v>34</v>
      </c>
      <c r="F386" s="126"/>
      <c r="G386" s="97"/>
      <c r="H386" s="97"/>
      <c r="I386" s="25">
        <v>2</v>
      </c>
      <c r="J386" s="26">
        <v>2</v>
      </c>
      <c r="K386" s="85">
        <v>42156</v>
      </c>
      <c r="L386" s="250"/>
      <c r="M386" s="253"/>
      <c r="U386" s="218">
        <v>56</v>
      </c>
      <c r="V386" s="19" t="s">
        <v>244</v>
      </c>
      <c r="W386" s="19"/>
      <c r="X386" s="241"/>
    </row>
    <row r="387" spans="1:24" ht="45" x14ac:dyDescent="0.25">
      <c r="A387" s="224" t="s">
        <v>139</v>
      </c>
      <c r="B387" s="160" t="s">
        <v>293</v>
      </c>
      <c r="C387" s="160" t="s">
        <v>170</v>
      </c>
      <c r="D387" s="160" t="s">
        <v>248</v>
      </c>
      <c r="E387" s="47" t="s">
        <v>34</v>
      </c>
      <c r="F387" s="126"/>
      <c r="G387" s="97"/>
      <c r="H387" s="97"/>
      <c r="I387" s="25">
        <v>2</v>
      </c>
      <c r="J387" s="26">
        <v>3</v>
      </c>
      <c r="K387" s="85">
        <v>42156</v>
      </c>
      <c r="L387" s="250"/>
      <c r="M387" s="253"/>
      <c r="U387" s="218">
        <v>56</v>
      </c>
      <c r="V387" s="19" t="s">
        <v>244</v>
      </c>
      <c r="W387" s="19"/>
      <c r="X387" s="241"/>
    </row>
    <row r="388" spans="1:24" ht="45" x14ac:dyDescent="0.25">
      <c r="A388" s="224" t="s">
        <v>139</v>
      </c>
      <c r="B388" s="160" t="s">
        <v>293</v>
      </c>
      <c r="C388" s="160" t="s">
        <v>170</v>
      </c>
      <c r="D388" s="160" t="s">
        <v>260</v>
      </c>
      <c r="E388" s="161" t="s">
        <v>35</v>
      </c>
      <c r="F388" s="96"/>
      <c r="G388" s="96"/>
      <c r="H388" s="96"/>
      <c r="I388" s="25">
        <v>2</v>
      </c>
      <c r="J388" s="26">
        <v>2</v>
      </c>
      <c r="K388" s="85">
        <v>42156</v>
      </c>
      <c r="L388" s="250"/>
      <c r="M388" s="253"/>
      <c r="U388" s="218">
        <v>57</v>
      </c>
      <c r="V388" s="19" t="s">
        <v>244</v>
      </c>
      <c r="W388" s="19"/>
      <c r="X388" s="241"/>
    </row>
    <row r="389" spans="1:24" ht="45" x14ac:dyDescent="0.25">
      <c r="A389" s="224" t="s">
        <v>139</v>
      </c>
      <c r="B389" s="160" t="s">
        <v>293</v>
      </c>
      <c r="C389" s="160" t="s">
        <v>170</v>
      </c>
      <c r="D389" s="160" t="s">
        <v>249</v>
      </c>
      <c r="E389" s="162" t="s">
        <v>36</v>
      </c>
      <c r="F389" s="127"/>
      <c r="G389" s="98"/>
      <c r="H389" s="98"/>
      <c r="I389" s="25">
        <v>2</v>
      </c>
      <c r="J389" s="26">
        <v>2</v>
      </c>
      <c r="K389" s="85">
        <v>42156</v>
      </c>
      <c r="L389" s="250"/>
      <c r="M389" s="253"/>
      <c r="U389" s="218">
        <v>58</v>
      </c>
      <c r="V389" s="19" t="s">
        <v>244</v>
      </c>
      <c r="W389" s="19"/>
      <c r="X389" s="241"/>
    </row>
    <row r="390" spans="1:24" ht="45" x14ac:dyDescent="0.25">
      <c r="A390" s="224" t="s">
        <v>139</v>
      </c>
      <c r="B390" s="160" t="s">
        <v>293</v>
      </c>
      <c r="C390" s="160" t="s">
        <v>170</v>
      </c>
      <c r="D390" s="160" t="s">
        <v>261</v>
      </c>
      <c r="E390" s="47" t="s">
        <v>37</v>
      </c>
      <c r="F390" s="126"/>
      <c r="G390" s="97"/>
      <c r="H390" s="97"/>
      <c r="I390" s="26">
        <v>3</v>
      </c>
      <c r="J390" s="26">
        <v>3</v>
      </c>
      <c r="K390" s="85">
        <v>42156</v>
      </c>
      <c r="L390" s="250"/>
      <c r="M390" s="253"/>
      <c r="U390" s="218">
        <v>59</v>
      </c>
      <c r="V390" s="19" t="s">
        <v>244</v>
      </c>
      <c r="W390" s="19"/>
      <c r="X390" s="241"/>
    </row>
    <row r="391" spans="1:24" ht="45.75" thickBot="1" x14ac:dyDescent="0.3">
      <c r="A391" s="225" t="s">
        <v>139</v>
      </c>
      <c r="B391" s="163" t="s">
        <v>293</v>
      </c>
      <c r="C391" s="163" t="s">
        <v>170</v>
      </c>
      <c r="D391" s="163" t="s">
        <v>262</v>
      </c>
      <c r="E391" s="164" t="s">
        <v>38</v>
      </c>
      <c r="F391" s="128"/>
      <c r="G391" s="129"/>
      <c r="H391" s="129"/>
      <c r="I391" s="31">
        <v>2</v>
      </c>
      <c r="J391" s="31">
        <v>2</v>
      </c>
      <c r="K391" s="86">
        <v>42156</v>
      </c>
      <c r="L391" s="251"/>
      <c r="M391" s="254"/>
      <c r="U391" s="218">
        <v>60</v>
      </c>
      <c r="V391" s="19" t="s">
        <v>244</v>
      </c>
      <c r="W391" s="19"/>
      <c r="X391" s="241"/>
    </row>
    <row r="392" spans="1:24" ht="45.75" thickTop="1" x14ac:dyDescent="0.25">
      <c r="A392" s="226" t="s">
        <v>139</v>
      </c>
      <c r="B392" s="165" t="s">
        <v>293</v>
      </c>
      <c r="C392" s="165" t="s">
        <v>171</v>
      </c>
      <c r="D392" s="165" t="s">
        <v>295</v>
      </c>
      <c r="E392" s="166" t="s">
        <v>348</v>
      </c>
      <c r="F392" s="130"/>
      <c r="G392" s="130"/>
      <c r="H392" s="130"/>
      <c r="I392" s="32">
        <v>3</v>
      </c>
      <c r="J392" s="32">
        <v>3</v>
      </c>
      <c r="K392" s="203">
        <v>42156</v>
      </c>
      <c r="L392" s="249" t="str">
        <f t="shared" ref="L392:M392" si="27">CONCATENATE("Level"," ",MIN(I392:I402))</f>
        <v>Level 2</v>
      </c>
      <c r="M392" s="252" t="str">
        <f t="shared" si="27"/>
        <v>Level 2</v>
      </c>
      <c r="U392" s="218">
        <v>28</v>
      </c>
      <c r="V392" s="19" t="s">
        <v>244</v>
      </c>
      <c r="W392" s="19"/>
      <c r="X392" s="241"/>
    </row>
    <row r="393" spans="1:24" ht="45" x14ac:dyDescent="0.25">
      <c r="A393" s="228" t="s">
        <v>139</v>
      </c>
      <c r="B393" s="199" t="s">
        <v>293</v>
      </c>
      <c r="C393" s="199" t="s">
        <v>171</v>
      </c>
      <c r="D393" s="199" t="s">
        <v>250</v>
      </c>
      <c r="E393" s="200" t="s">
        <v>348</v>
      </c>
      <c r="F393" s="201"/>
      <c r="G393" s="201"/>
      <c r="H393" s="201"/>
      <c r="I393" s="202">
        <v>2</v>
      </c>
      <c r="J393" s="202">
        <v>2</v>
      </c>
      <c r="K393" s="88">
        <v>42156</v>
      </c>
      <c r="L393" s="250"/>
      <c r="M393" s="253"/>
      <c r="U393" s="218">
        <v>1</v>
      </c>
      <c r="V393" s="19" t="s">
        <v>244</v>
      </c>
      <c r="W393" s="19"/>
      <c r="X393" s="241"/>
    </row>
    <row r="394" spans="1:24" ht="45" x14ac:dyDescent="0.25">
      <c r="A394" s="228" t="s">
        <v>139</v>
      </c>
      <c r="B394" s="199" t="s">
        <v>293</v>
      </c>
      <c r="C394" s="199" t="s">
        <v>171</v>
      </c>
      <c r="D394" s="199" t="s">
        <v>266</v>
      </c>
      <c r="E394" s="200" t="s">
        <v>348</v>
      </c>
      <c r="F394" s="201"/>
      <c r="G394" s="201"/>
      <c r="H394" s="201"/>
      <c r="I394" s="202">
        <v>2</v>
      </c>
      <c r="J394" s="202">
        <v>3</v>
      </c>
      <c r="K394" s="88">
        <v>42156</v>
      </c>
      <c r="L394" s="250"/>
      <c r="M394" s="253"/>
      <c r="U394" s="218">
        <v>2</v>
      </c>
      <c r="V394" s="19" t="s">
        <v>244</v>
      </c>
      <c r="W394" s="19"/>
      <c r="X394" s="241"/>
    </row>
    <row r="395" spans="1:24" ht="75" x14ac:dyDescent="0.25">
      <c r="A395" s="228" t="s">
        <v>139</v>
      </c>
      <c r="B395" s="199" t="s">
        <v>293</v>
      </c>
      <c r="C395" s="199" t="s">
        <v>171</v>
      </c>
      <c r="D395" s="199" t="s">
        <v>252</v>
      </c>
      <c r="E395" s="200" t="s">
        <v>348</v>
      </c>
      <c r="F395" s="201"/>
      <c r="G395" s="201"/>
      <c r="H395" s="201"/>
      <c r="I395" s="202">
        <v>2</v>
      </c>
      <c r="J395" s="202">
        <v>3</v>
      </c>
      <c r="K395" s="88">
        <v>42156</v>
      </c>
      <c r="L395" s="250"/>
      <c r="M395" s="253"/>
      <c r="U395" s="218">
        <v>3</v>
      </c>
      <c r="V395" s="19" t="s">
        <v>244</v>
      </c>
      <c r="W395" s="19"/>
      <c r="X395" s="241"/>
    </row>
    <row r="396" spans="1:24" ht="45" x14ac:dyDescent="0.25">
      <c r="A396" s="228" t="s">
        <v>139</v>
      </c>
      <c r="B396" s="199" t="s">
        <v>293</v>
      </c>
      <c r="C396" s="199" t="s">
        <v>171</v>
      </c>
      <c r="D396" s="199" t="s">
        <v>263</v>
      </c>
      <c r="E396" s="200" t="s">
        <v>310</v>
      </c>
      <c r="F396" s="201"/>
      <c r="G396" s="201"/>
      <c r="H396" s="201"/>
      <c r="I396" s="202">
        <v>2</v>
      </c>
      <c r="J396" s="202">
        <v>2</v>
      </c>
      <c r="K396" s="88">
        <v>42156</v>
      </c>
      <c r="L396" s="250"/>
      <c r="M396" s="253"/>
      <c r="U396" s="218">
        <v>55</v>
      </c>
      <c r="V396" s="19" t="s">
        <v>244</v>
      </c>
      <c r="W396" s="19"/>
      <c r="X396" s="241"/>
    </row>
    <row r="397" spans="1:24" ht="45" x14ac:dyDescent="0.25">
      <c r="A397" s="227" t="s">
        <v>139</v>
      </c>
      <c r="B397" s="167" t="s">
        <v>293</v>
      </c>
      <c r="C397" s="167" t="s">
        <v>171</v>
      </c>
      <c r="D397" s="167" t="s">
        <v>247</v>
      </c>
      <c r="E397" s="50" t="s">
        <v>34</v>
      </c>
      <c r="F397" s="131"/>
      <c r="G397" s="92"/>
      <c r="H397" s="92"/>
      <c r="I397" s="6">
        <v>2</v>
      </c>
      <c r="J397" s="5">
        <v>3</v>
      </c>
      <c r="K397" s="88">
        <v>42156</v>
      </c>
      <c r="L397" s="250"/>
      <c r="M397" s="253"/>
      <c r="U397" s="218">
        <v>56</v>
      </c>
      <c r="V397" s="19" t="s">
        <v>244</v>
      </c>
      <c r="W397" s="19"/>
      <c r="X397" s="241"/>
    </row>
    <row r="398" spans="1:24" ht="45" x14ac:dyDescent="0.25">
      <c r="A398" s="227" t="s">
        <v>139</v>
      </c>
      <c r="B398" s="167" t="s">
        <v>293</v>
      </c>
      <c r="C398" s="167" t="s">
        <v>171</v>
      </c>
      <c r="D398" s="167" t="s">
        <v>248</v>
      </c>
      <c r="E398" s="50" t="s">
        <v>34</v>
      </c>
      <c r="F398" s="131"/>
      <c r="G398" s="92"/>
      <c r="H398" s="92"/>
      <c r="I398" s="6">
        <v>2</v>
      </c>
      <c r="J398" s="5">
        <v>2</v>
      </c>
      <c r="K398" s="88">
        <v>42156</v>
      </c>
      <c r="L398" s="250"/>
      <c r="M398" s="253"/>
      <c r="U398" s="218">
        <v>56</v>
      </c>
      <c r="V398" s="19" t="s">
        <v>244</v>
      </c>
      <c r="W398" s="19"/>
      <c r="X398" s="241"/>
    </row>
    <row r="399" spans="1:24" ht="45" x14ac:dyDescent="0.25">
      <c r="A399" s="227" t="s">
        <v>139</v>
      </c>
      <c r="B399" s="167" t="s">
        <v>293</v>
      </c>
      <c r="C399" s="167" t="s">
        <v>171</v>
      </c>
      <c r="D399" s="167" t="s">
        <v>260</v>
      </c>
      <c r="E399" s="168" t="s">
        <v>35</v>
      </c>
      <c r="F399" s="93"/>
      <c r="G399" s="93"/>
      <c r="H399" s="93"/>
      <c r="I399" s="6">
        <v>2</v>
      </c>
      <c r="J399" s="5">
        <v>3</v>
      </c>
      <c r="K399" s="88">
        <v>42156</v>
      </c>
      <c r="L399" s="250"/>
      <c r="M399" s="253"/>
      <c r="U399" s="218">
        <v>57</v>
      </c>
      <c r="V399" s="19" t="s">
        <v>244</v>
      </c>
      <c r="W399" s="19"/>
      <c r="X399" s="241"/>
    </row>
    <row r="400" spans="1:24" ht="45" x14ac:dyDescent="0.25">
      <c r="A400" s="227" t="s">
        <v>139</v>
      </c>
      <c r="B400" s="167" t="s">
        <v>293</v>
      </c>
      <c r="C400" s="167" t="s">
        <v>171</v>
      </c>
      <c r="D400" s="167" t="s">
        <v>249</v>
      </c>
      <c r="E400" s="169" t="s">
        <v>36</v>
      </c>
      <c r="F400" s="132"/>
      <c r="G400" s="91"/>
      <c r="H400" s="91"/>
      <c r="I400" s="6">
        <v>2</v>
      </c>
      <c r="J400" s="5">
        <v>3</v>
      </c>
      <c r="K400" s="88">
        <v>42156</v>
      </c>
      <c r="L400" s="250"/>
      <c r="M400" s="253"/>
      <c r="U400" s="218">
        <v>58</v>
      </c>
      <c r="V400" s="19" t="s">
        <v>244</v>
      </c>
      <c r="W400" s="19"/>
      <c r="X400" s="241"/>
    </row>
    <row r="401" spans="1:24" ht="45" x14ac:dyDescent="0.25">
      <c r="A401" s="227" t="s">
        <v>139</v>
      </c>
      <c r="B401" s="167" t="s">
        <v>293</v>
      </c>
      <c r="C401" s="167" t="s">
        <v>171</v>
      </c>
      <c r="D401" s="167" t="s">
        <v>261</v>
      </c>
      <c r="E401" s="50" t="s">
        <v>37</v>
      </c>
      <c r="F401" s="131"/>
      <c r="G401" s="92"/>
      <c r="H401" s="92"/>
      <c r="I401" s="5">
        <v>2</v>
      </c>
      <c r="J401" s="5">
        <v>3</v>
      </c>
      <c r="K401" s="88">
        <v>42156</v>
      </c>
      <c r="L401" s="250"/>
      <c r="M401" s="253"/>
      <c r="U401" s="218">
        <v>59</v>
      </c>
      <c r="V401" s="19" t="s">
        <v>244</v>
      </c>
      <c r="W401" s="19"/>
      <c r="X401" s="241"/>
    </row>
    <row r="402" spans="1:24" ht="45.75" thickBot="1" x14ac:dyDescent="0.3">
      <c r="A402" s="229" t="s">
        <v>139</v>
      </c>
      <c r="B402" s="170" t="s">
        <v>293</v>
      </c>
      <c r="C402" s="170" t="s">
        <v>171</v>
      </c>
      <c r="D402" s="170" t="s">
        <v>262</v>
      </c>
      <c r="E402" s="171" t="s">
        <v>38</v>
      </c>
      <c r="F402" s="133"/>
      <c r="G402" s="101"/>
      <c r="H402" s="101"/>
      <c r="I402" s="33">
        <v>2</v>
      </c>
      <c r="J402" s="33">
        <v>2</v>
      </c>
      <c r="K402" s="89">
        <v>42156</v>
      </c>
      <c r="L402" s="251"/>
      <c r="M402" s="254"/>
      <c r="U402" s="218">
        <v>60</v>
      </c>
      <c r="V402" s="19" t="s">
        <v>244</v>
      </c>
      <c r="W402" s="19"/>
      <c r="X402" s="241"/>
    </row>
    <row r="403" spans="1:24" ht="45.75" thickTop="1" x14ac:dyDescent="0.25">
      <c r="A403" s="231" t="s">
        <v>139</v>
      </c>
      <c r="B403" s="158" t="s">
        <v>293</v>
      </c>
      <c r="C403" s="158" t="s">
        <v>172</v>
      </c>
      <c r="D403" s="158" t="s">
        <v>250</v>
      </c>
      <c r="E403" s="159" t="s">
        <v>348</v>
      </c>
      <c r="F403" s="63"/>
      <c r="G403" s="63"/>
      <c r="H403" s="63"/>
      <c r="I403" s="30">
        <v>2</v>
      </c>
      <c r="J403" s="30">
        <v>3</v>
      </c>
      <c r="K403" s="233">
        <v>42156</v>
      </c>
      <c r="L403" s="249" t="str">
        <f t="shared" ref="L403:M403" si="28">CONCATENATE("Level"," ",MIN(I403:I412))</f>
        <v>Level 2</v>
      </c>
      <c r="M403" s="252" t="str">
        <f t="shared" si="28"/>
        <v>Level 2</v>
      </c>
      <c r="U403" s="218">
        <v>1</v>
      </c>
      <c r="V403" s="19" t="s">
        <v>244</v>
      </c>
      <c r="W403" s="19"/>
      <c r="X403" s="241"/>
    </row>
    <row r="404" spans="1:24" ht="45" x14ac:dyDescent="0.25">
      <c r="A404" s="230" t="s">
        <v>139</v>
      </c>
      <c r="B404" s="190" t="s">
        <v>293</v>
      </c>
      <c r="C404" s="190" t="s">
        <v>172</v>
      </c>
      <c r="D404" s="190" t="s">
        <v>266</v>
      </c>
      <c r="E404" s="191" t="s">
        <v>348</v>
      </c>
      <c r="F404" s="192"/>
      <c r="G404" s="192"/>
      <c r="H404" s="192"/>
      <c r="I404" s="193">
        <v>2</v>
      </c>
      <c r="J404" s="193">
        <v>3</v>
      </c>
      <c r="K404" s="85">
        <v>42156</v>
      </c>
      <c r="L404" s="250"/>
      <c r="M404" s="253"/>
      <c r="U404" s="218">
        <v>2</v>
      </c>
      <c r="V404" s="19" t="s">
        <v>244</v>
      </c>
      <c r="W404" s="19"/>
      <c r="X404" s="241"/>
    </row>
    <row r="405" spans="1:24" ht="75" x14ac:dyDescent="0.25">
      <c r="A405" s="230" t="s">
        <v>139</v>
      </c>
      <c r="B405" s="190" t="s">
        <v>293</v>
      </c>
      <c r="C405" s="190" t="s">
        <v>172</v>
      </c>
      <c r="D405" s="190" t="s">
        <v>252</v>
      </c>
      <c r="E405" s="191" t="s">
        <v>348</v>
      </c>
      <c r="F405" s="192"/>
      <c r="G405" s="192"/>
      <c r="H405" s="192"/>
      <c r="I405" s="193">
        <v>2</v>
      </c>
      <c r="J405" s="193">
        <v>3</v>
      </c>
      <c r="K405" s="85">
        <v>42156</v>
      </c>
      <c r="L405" s="250"/>
      <c r="M405" s="253"/>
      <c r="U405" s="218">
        <v>3</v>
      </c>
      <c r="V405" s="19" t="s">
        <v>244</v>
      </c>
      <c r="W405" s="19"/>
      <c r="X405" s="241"/>
    </row>
    <row r="406" spans="1:24" ht="45" x14ac:dyDescent="0.25">
      <c r="A406" s="230" t="s">
        <v>139</v>
      </c>
      <c r="B406" s="190" t="s">
        <v>293</v>
      </c>
      <c r="C406" s="190" t="s">
        <v>172</v>
      </c>
      <c r="D406" s="190" t="s">
        <v>263</v>
      </c>
      <c r="E406" s="191" t="s">
        <v>0</v>
      </c>
      <c r="F406" s="192"/>
      <c r="G406" s="192"/>
      <c r="H406" s="192"/>
      <c r="I406" s="193">
        <v>2</v>
      </c>
      <c r="J406" s="193">
        <v>2</v>
      </c>
      <c r="K406" s="85">
        <v>42156</v>
      </c>
      <c r="L406" s="250"/>
      <c r="M406" s="253"/>
      <c r="U406" s="218">
        <v>55</v>
      </c>
      <c r="V406" s="19" t="s">
        <v>244</v>
      </c>
      <c r="W406" s="19"/>
      <c r="X406" s="241"/>
    </row>
    <row r="407" spans="1:24" ht="45" x14ac:dyDescent="0.25">
      <c r="A407" s="224" t="s">
        <v>139</v>
      </c>
      <c r="B407" s="160" t="s">
        <v>293</v>
      </c>
      <c r="C407" s="160" t="s">
        <v>172</v>
      </c>
      <c r="D407" s="160" t="s">
        <v>247</v>
      </c>
      <c r="E407" s="47" t="s">
        <v>34</v>
      </c>
      <c r="F407" s="126"/>
      <c r="G407" s="97"/>
      <c r="H407" s="97"/>
      <c r="I407" s="25">
        <v>2</v>
      </c>
      <c r="J407" s="26">
        <v>3</v>
      </c>
      <c r="K407" s="85">
        <v>42156</v>
      </c>
      <c r="L407" s="250"/>
      <c r="M407" s="253"/>
      <c r="U407" s="218">
        <v>56</v>
      </c>
      <c r="V407" s="19" t="s">
        <v>244</v>
      </c>
      <c r="W407" s="19"/>
      <c r="X407" s="241"/>
    </row>
    <row r="408" spans="1:24" ht="45" x14ac:dyDescent="0.25">
      <c r="A408" s="224" t="s">
        <v>139</v>
      </c>
      <c r="B408" s="160" t="s">
        <v>293</v>
      </c>
      <c r="C408" s="160" t="s">
        <v>172</v>
      </c>
      <c r="D408" s="160" t="s">
        <v>248</v>
      </c>
      <c r="E408" s="47" t="s">
        <v>34</v>
      </c>
      <c r="F408" s="126"/>
      <c r="G408" s="97"/>
      <c r="H408" s="97"/>
      <c r="I408" s="25">
        <v>2</v>
      </c>
      <c r="J408" s="26">
        <v>3</v>
      </c>
      <c r="K408" s="85">
        <v>42156</v>
      </c>
      <c r="L408" s="250"/>
      <c r="M408" s="253"/>
      <c r="U408" s="218">
        <v>56</v>
      </c>
      <c r="V408" s="19" t="s">
        <v>244</v>
      </c>
      <c r="W408" s="19"/>
      <c r="X408" s="241"/>
    </row>
    <row r="409" spans="1:24" ht="45" x14ac:dyDescent="0.25">
      <c r="A409" s="224" t="s">
        <v>139</v>
      </c>
      <c r="B409" s="160" t="s">
        <v>293</v>
      </c>
      <c r="C409" s="160" t="s">
        <v>172</v>
      </c>
      <c r="D409" s="160" t="s">
        <v>260</v>
      </c>
      <c r="E409" s="161" t="s">
        <v>35</v>
      </c>
      <c r="F409" s="96"/>
      <c r="G409" s="96"/>
      <c r="H409" s="96"/>
      <c r="I409" s="25">
        <v>2</v>
      </c>
      <c r="J409" s="26">
        <v>3</v>
      </c>
      <c r="K409" s="85">
        <v>42156</v>
      </c>
      <c r="L409" s="250"/>
      <c r="M409" s="253"/>
      <c r="U409" s="218">
        <v>57</v>
      </c>
      <c r="V409" s="19" t="s">
        <v>244</v>
      </c>
      <c r="W409" s="19"/>
      <c r="X409" s="241"/>
    </row>
    <row r="410" spans="1:24" ht="45" x14ac:dyDescent="0.25">
      <c r="A410" s="224" t="s">
        <v>139</v>
      </c>
      <c r="B410" s="160" t="s">
        <v>293</v>
      </c>
      <c r="C410" s="160" t="s">
        <v>172</v>
      </c>
      <c r="D410" s="160" t="s">
        <v>249</v>
      </c>
      <c r="E410" s="162" t="s">
        <v>36</v>
      </c>
      <c r="F410" s="127"/>
      <c r="G410" s="98"/>
      <c r="H410" s="98"/>
      <c r="I410" s="25">
        <v>2</v>
      </c>
      <c r="J410" s="26">
        <v>3</v>
      </c>
      <c r="K410" s="85">
        <v>42156</v>
      </c>
      <c r="L410" s="250"/>
      <c r="M410" s="253"/>
      <c r="U410" s="218">
        <v>58</v>
      </c>
      <c r="V410" s="19" t="s">
        <v>244</v>
      </c>
      <c r="W410" s="19"/>
      <c r="X410" s="241"/>
    </row>
    <row r="411" spans="1:24" ht="45" x14ac:dyDescent="0.25">
      <c r="A411" s="224" t="s">
        <v>139</v>
      </c>
      <c r="B411" s="160" t="s">
        <v>293</v>
      </c>
      <c r="C411" s="160" t="s">
        <v>172</v>
      </c>
      <c r="D411" s="160" t="s">
        <v>261</v>
      </c>
      <c r="E411" s="47" t="s">
        <v>37</v>
      </c>
      <c r="F411" s="126"/>
      <c r="G411" s="97"/>
      <c r="H411" s="97"/>
      <c r="I411" s="26">
        <v>2</v>
      </c>
      <c r="J411" s="26">
        <v>3</v>
      </c>
      <c r="K411" s="85">
        <v>42156</v>
      </c>
      <c r="L411" s="250"/>
      <c r="M411" s="253"/>
      <c r="U411" s="218">
        <v>59</v>
      </c>
      <c r="V411" s="19" t="s">
        <v>244</v>
      </c>
      <c r="W411" s="19"/>
      <c r="X411" s="241"/>
    </row>
    <row r="412" spans="1:24" ht="45.75" thickBot="1" x14ac:dyDescent="0.3">
      <c r="A412" s="225" t="s">
        <v>139</v>
      </c>
      <c r="B412" s="163" t="s">
        <v>293</v>
      </c>
      <c r="C412" s="163" t="s">
        <v>172</v>
      </c>
      <c r="D412" s="163" t="s">
        <v>262</v>
      </c>
      <c r="E412" s="164" t="s">
        <v>38</v>
      </c>
      <c r="F412" s="128"/>
      <c r="G412" s="129"/>
      <c r="H412" s="129"/>
      <c r="I412" s="31">
        <v>2</v>
      </c>
      <c r="J412" s="31">
        <v>2</v>
      </c>
      <c r="K412" s="86">
        <v>42156</v>
      </c>
      <c r="L412" s="251"/>
      <c r="M412" s="254"/>
      <c r="U412" s="218">
        <v>60</v>
      </c>
      <c r="V412" s="19" t="s">
        <v>244</v>
      </c>
      <c r="W412" s="19"/>
      <c r="X412" s="241"/>
    </row>
    <row r="413" spans="1:24" ht="45.75" thickTop="1" x14ac:dyDescent="0.25">
      <c r="A413" s="226" t="s">
        <v>139</v>
      </c>
      <c r="B413" s="165" t="s">
        <v>293</v>
      </c>
      <c r="C413" s="165" t="s">
        <v>173</v>
      </c>
      <c r="D413" s="165" t="s">
        <v>250</v>
      </c>
      <c r="E413" s="166" t="s">
        <v>348</v>
      </c>
      <c r="F413" s="130"/>
      <c r="G413" s="130"/>
      <c r="H413" s="130"/>
      <c r="I413" s="32">
        <v>3</v>
      </c>
      <c r="J413" s="32">
        <v>3</v>
      </c>
      <c r="K413" s="203">
        <v>42156</v>
      </c>
      <c r="L413" s="249" t="str">
        <f t="shared" ref="L413:M413" si="29">CONCATENATE("Level"," ",MIN(I413:I422))</f>
        <v>Level 1</v>
      </c>
      <c r="M413" s="252" t="str">
        <f t="shared" si="29"/>
        <v>Level 2</v>
      </c>
      <c r="U413" s="218">
        <v>1</v>
      </c>
      <c r="V413" s="19" t="s">
        <v>244</v>
      </c>
      <c r="W413" s="19"/>
      <c r="X413" s="241"/>
    </row>
    <row r="414" spans="1:24" ht="45" x14ac:dyDescent="0.25">
      <c r="A414" s="228" t="s">
        <v>139</v>
      </c>
      <c r="B414" s="199" t="s">
        <v>293</v>
      </c>
      <c r="C414" s="199" t="s">
        <v>173</v>
      </c>
      <c r="D414" s="199" t="s">
        <v>266</v>
      </c>
      <c r="E414" s="200" t="s">
        <v>348</v>
      </c>
      <c r="F414" s="201"/>
      <c r="G414" s="201"/>
      <c r="H414" s="201"/>
      <c r="I414" s="202">
        <v>2</v>
      </c>
      <c r="J414" s="202">
        <v>3</v>
      </c>
      <c r="K414" s="88">
        <v>42156</v>
      </c>
      <c r="L414" s="250"/>
      <c r="M414" s="253"/>
      <c r="U414" s="218">
        <v>2</v>
      </c>
      <c r="V414" s="19" t="s">
        <v>244</v>
      </c>
      <c r="W414" s="19"/>
      <c r="X414" s="241"/>
    </row>
    <row r="415" spans="1:24" ht="75" x14ac:dyDescent="0.25">
      <c r="A415" s="228" t="s">
        <v>139</v>
      </c>
      <c r="B415" s="199" t="s">
        <v>293</v>
      </c>
      <c r="C415" s="199" t="s">
        <v>173</v>
      </c>
      <c r="D415" s="199" t="s">
        <v>252</v>
      </c>
      <c r="E415" s="200" t="s">
        <v>348</v>
      </c>
      <c r="F415" s="201"/>
      <c r="G415" s="201"/>
      <c r="H415" s="201"/>
      <c r="I415" s="202">
        <v>1</v>
      </c>
      <c r="J415" s="202">
        <v>2</v>
      </c>
      <c r="K415" s="88">
        <v>42156</v>
      </c>
      <c r="L415" s="250"/>
      <c r="M415" s="253"/>
      <c r="U415" s="218">
        <v>3</v>
      </c>
      <c r="V415" s="19" t="s">
        <v>244</v>
      </c>
      <c r="W415" s="19"/>
      <c r="X415" s="241"/>
    </row>
    <row r="416" spans="1:24" ht="45" x14ac:dyDescent="0.25">
      <c r="A416" s="228" t="s">
        <v>139</v>
      </c>
      <c r="B416" s="199" t="s">
        <v>293</v>
      </c>
      <c r="C416" s="199" t="s">
        <v>173</v>
      </c>
      <c r="D416" s="199" t="s">
        <v>263</v>
      </c>
      <c r="E416" s="200" t="s">
        <v>0</v>
      </c>
      <c r="F416" s="201"/>
      <c r="G416" s="201"/>
      <c r="H416" s="201"/>
      <c r="I416" s="202">
        <v>2</v>
      </c>
      <c r="J416" s="202">
        <v>2</v>
      </c>
      <c r="K416" s="88">
        <v>42156</v>
      </c>
      <c r="L416" s="250"/>
      <c r="M416" s="253"/>
      <c r="U416" s="218">
        <v>55</v>
      </c>
      <c r="V416" s="19" t="s">
        <v>244</v>
      </c>
      <c r="W416" s="19"/>
      <c r="X416" s="241"/>
    </row>
    <row r="417" spans="1:24" ht="45" x14ac:dyDescent="0.25">
      <c r="A417" s="227" t="s">
        <v>139</v>
      </c>
      <c r="B417" s="167" t="s">
        <v>293</v>
      </c>
      <c r="C417" s="167" t="s">
        <v>173</v>
      </c>
      <c r="D417" s="167" t="s">
        <v>247</v>
      </c>
      <c r="E417" s="50" t="s">
        <v>34</v>
      </c>
      <c r="F417" s="131"/>
      <c r="G417" s="92"/>
      <c r="H417" s="92"/>
      <c r="I417" s="6">
        <v>3</v>
      </c>
      <c r="J417" s="5">
        <v>3</v>
      </c>
      <c r="K417" s="88">
        <v>42156</v>
      </c>
      <c r="L417" s="250"/>
      <c r="M417" s="253"/>
      <c r="U417" s="218">
        <v>56</v>
      </c>
      <c r="V417" s="19" t="s">
        <v>244</v>
      </c>
      <c r="W417" s="19"/>
      <c r="X417" s="241"/>
    </row>
    <row r="418" spans="1:24" ht="45" x14ac:dyDescent="0.25">
      <c r="A418" s="227" t="s">
        <v>139</v>
      </c>
      <c r="B418" s="167" t="s">
        <v>293</v>
      </c>
      <c r="C418" s="167" t="s">
        <v>173</v>
      </c>
      <c r="D418" s="167" t="s">
        <v>248</v>
      </c>
      <c r="E418" s="50" t="s">
        <v>34</v>
      </c>
      <c r="F418" s="131"/>
      <c r="G418" s="92"/>
      <c r="H418" s="92"/>
      <c r="I418" s="6">
        <v>3</v>
      </c>
      <c r="J418" s="5">
        <v>3</v>
      </c>
      <c r="K418" s="88">
        <v>42156</v>
      </c>
      <c r="L418" s="250"/>
      <c r="M418" s="253"/>
      <c r="U418" s="218">
        <v>56</v>
      </c>
      <c r="V418" s="19" t="s">
        <v>244</v>
      </c>
      <c r="W418" s="19"/>
      <c r="X418" s="241"/>
    </row>
    <row r="419" spans="1:24" ht="45" x14ac:dyDescent="0.25">
      <c r="A419" s="227" t="s">
        <v>139</v>
      </c>
      <c r="B419" s="167" t="s">
        <v>293</v>
      </c>
      <c r="C419" s="167" t="s">
        <v>173</v>
      </c>
      <c r="D419" s="167" t="s">
        <v>260</v>
      </c>
      <c r="E419" s="168" t="s">
        <v>35</v>
      </c>
      <c r="F419" s="93"/>
      <c r="G419" s="93"/>
      <c r="H419" s="93"/>
      <c r="I419" s="6">
        <v>2</v>
      </c>
      <c r="J419" s="5">
        <v>2</v>
      </c>
      <c r="K419" s="88">
        <v>42156</v>
      </c>
      <c r="L419" s="250"/>
      <c r="M419" s="253"/>
      <c r="U419" s="218">
        <v>57</v>
      </c>
      <c r="V419" s="19" t="s">
        <v>244</v>
      </c>
      <c r="W419" s="19"/>
      <c r="X419" s="241"/>
    </row>
    <row r="420" spans="1:24" ht="45" x14ac:dyDescent="0.25">
      <c r="A420" s="227" t="s">
        <v>139</v>
      </c>
      <c r="B420" s="167" t="s">
        <v>293</v>
      </c>
      <c r="C420" s="167" t="s">
        <v>173</v>
      </c>
      <c r="D420" s="167" t="s">
        <v>249</v>
      </c>
      <c r="E420" s="169" t="s">
        <v>36</v>
      </c>
      <c r="F420" s="132"/>
      <c r="G420" s="91"/>
      <c r="H420" s="91"/>
      <c r="I420" s="6">
        <v>3</v>
      </c>
      <c r="J420" s="5">
        <v>3</v>
      </c>
      <c r="K420" s="88">
        <v>42156</v>
      </c>
      <c r="L420" s="250"/>
      <c r="M420" s="253"/>
      <c r="U420" s="218">
        <v>58</v>
      </c>
      <c r="V420" s="19" t="s">
        <v>244</v>
      </c>
      <c r="W420" s="19"/>
      <c r="X420" s="241"/>
    </row>
    <row r="421" spans="1:24" ht="45" x14ac:dyDescent="0.25">
      <c r="A421" s="227" t="s">
        <v>139</v>
      </c>
      <c r="B421" s="167" t="s">
        <v>293</v>
      </c>
      <c r="C421" s="167" t="s">
        <v>173</v>
      </c>
      <c r="D421" s="167" t="s">
        <v>261</v>
      </c>
      <c r="E421" s="50" t="s">
        <v>37</v>
      </c>
      <c r="F421" s="131"/>
      <c r="G421" s="92"/>
      <c r="H421" s="92"/>
      <c r="I421" s="5">
        <v>3</v>
      </c>
      <c r="J421" s="5">
        <v>3</v>
      </c>
      <c r="K421" s="88">
        <v>42156</v>
      </c>
      <c r="L421" s="250"/>
      <c r="M421" s="253"/>
      <c r="U421" s="218">
        <v>59</v>
      </c>
      <c r="V421" s="19" t="s">
        <v>244</v>
      </c>
      <c r="W421" s="19"/>
      <c r="X421" s="241"/>
    </row>
    <row r="422" spans="1:24" ht="45.75" thickBot="1" x14ac:dyDescent="0.3">
      <c r="A422" s="229" t="s">
        <v>139</v>
      </c>
      <c r="B422" s="170" t="s">
        <v>293</v>
      </c>
      <c r="C422" s="170" t="s">
        <v>173</v>
      </c>
      <c r="D422" s="170" t="s">
        <v>262</v>
      </c>
      <c r="E422" s="171" t="s">
        <v>38</v>
      </c>
      <c r="F422" s="133"/>
      <c r="G422" s="101"/>
      <c r="H422" s="101"/>
      <c r="I422" s="33">
        <v>3</v>
      </c>
      <c r="J422" s="33">
        <v>3</v>
      </c>
      <c r="K422" s="89">
        <v>42156</v>
      </c>
      <c r="L422" s="251"/>
      <c r="M422" s="254"/>
      <c r="U422" s="218">
        <v>60</v>
      </c>
      <c r="V422" s="19" t="s">
        <v>244</v>
      </c>
      <c r="W422" s="19"/>
      <c r="X422" s="241"/>
    </row>
    <row r="423" spans="1:24" ht="45.75" thickTop="1" x14ac:dyDescent="0.25">
      <c r="A423" s="231" t="s">
        <v>139</v>
      </c>
      <c r="B423" s="158" t="s">
        <v>312</v>
      </c>
      <c r="C423" s="158" t="s">
        <v>174</v>
      </c>
      <c r="D423" s="158" t="s">
        <v>250</v>
      </c>
      <c r="E423" s="159" t="s">
        <v>348</v>
      </c>
      <c r="F423" s="63"/>
      <c r="G423" s="63"/>
      <c r="H423" s="63"/>
      <c r="I423" s="30">
        <v>2</v>
      </c>
      <c r="J423" s="30">
        <v>2</v>
      </c>
      <c r="K423" s="233">
        <v>42156</v>
      </c>
      <c r="L423" s="249" t="str">
        <f t="shared" ref="L423:M423" si="30">CONCATENATE("Level"," ",MIN(I423:I432))</f>
        <v>Level 1</v>
      </c>
      <c r="M423" s="252" t="str">
        <f t="shared" si="30"/>
        <v>Level 2</v>
      </c>
      <c r="U423" s="218">
        <v>1</v>
      </c>
      <c r="V423" s="19" t="s">
        <v>244</v>
      </c>
      <c r="W423" s="19"/>
      <c r="X423" s="241"/>
    </row>
    <row r="424" spans="1:24" ht="45" x14ac:dyDescent="0.25">
      <c r="A424" s="230" t="s">
        <v>139</v>
      </c>
      <c r="B424" s="190" t="s">
        <v>312</v>
      </c>
      <c r="C424" s="190" t="s">
        <v>174</v>
      </c>
      <c r="D424" s="190" t="s">
        <v>266</v>
      </c>
      <c r="E424" s="191" t="s">
        <v>348</v>
      </c>
      <c r="F424" s="192"/>
      <c r="G424" s="192"/>
      <c r="H424" s="192"/>
      <c r="I424" s="193">
        <v>2</v>
      </c>
      <c r="J424" s="193">
        <v>3</v>
      </c>
      <c r="K424" s="85">
        <v>42156</v>
      </c>
      <c r="L424" s="250"/>
      <c r="M424" s="253"/>
      <c r="U424" s="218">
        <v>2</v>
      </c>
      <c r="V424" s="19" t="s">
        <v>244</v>
      </c>
      <c r="W424" s="19"/>
      <c r="X424" s="241"/>
    </row>
    <row r="425" spans="1:24" ht="75" x14ac:dyDescent="0.25">
      <c r="A425" s="230" t="s">
        <v>139</v>
      </c>
      <c r="B425" s="190" t="s">
        <v>312</v>
      </c>
      <c r="C425" s="190" t="s">
        <v>174</v>
      </c>
      <c r="D425" s="190" t="s">
        <v>252</v>
      </c>
      <c r="E425" s="191" t="s">
        <v>348</v>
      </c>
      <c r="F425" s="192"/>
      <c r="G425" s="192"/>
      <c r="H425" s="192"/>
      <c r="I425" s="193">
        <v>2</v>
      </c>
      <c r="J425" s="193">
        <v>3</v>
      </c>
      <c r="K425" s="85">
        <v>42156</v>
      </c>
      <c r="L425" s="250"/>
      <c r="M425" s="253"/>
      <c r="U425" s="218">
        <v>3</v>
      </c>
      <c r="V425" s="19" t="s">
        <v>244</v>
      </c>
      <c r="W425" s="19"/>
      <c r="X425" s="241"/>
    </row>
    <row r="426" spans="1:24" ht="45" x14ac:dyDescent="0.25">
      <c r="A426" s="230" t="s">
        <v>139</v>
      </c>
      <c r="B426" s="190" t="s">
        <v>312</v>
      </c>
      <c r="C426" s="190" t="s">
        <v>174</v>
      </c>
      <c r="D426" s="190" t="s">
        <v>263</v>
      </c>
      <c r="E426" s="191" t="s">
        <v>0</v>
      </c>
      <c r="F426" s="192"/>
      <c r="G426" s="192"/>
      <c r="H426" s="192"/>
      <c r="I426" s="193">
        <v>2</v>
      </c>
      <c r="J426" s="193">
        <v>2</v>
      </c>
      <c r="K426" s="85">
        <v>42156</v>
      </c>
      <c r="L426" s="250"/>
      <c r="M426" s="253"/>
      <c r="U426" s="218">
        <v>55</v>
      </c>
      <c r="V426" s="19" t="s">
        <v>244</v>
      </c>
      <c r="W426" s="19"/>
      <c r="X426" s="241"/>
    </row>
    <row r="427" spans="1:24" ht="45" x14ac:dyDescent="0.25">
      <c r="A427" s="224" t="s">
        <v>139</v>
      </c>
      <c r="B427" s="160" t="s">
        <v>312</v>
      </c>
      <c r="C427" s="160" t="s">
        <v>174</v>
      </c>
      <c r="D427" s="160" t="s">
        <v>247</v>
      </c>
      <c r="E427" s="47" t="s">
        <v>34</v>
      </c>
      <c r="F427" s="126"/>
      <c r="G427" s="97"/>
      <c r="H427" s="97"/>
      <c r="I427" s="25">
        <v>2</v>
      </c>
      <c r="J427" s="26">
        <v>2</v>
      </c>
      <c r="K427" s="85">
        <v>42156</v>
      </c>
      <c r="L427" s="250"/>
      <c r="M427" s="253"/>
      <c r="U427" s="218">
        <v>56</v>
      </c>
      <c r="V427" s="19" t="s">
        <v>244</v>
      </c>
      <c r="W427" s="19"/>
      <c r="X427" s="241"/>
    </row>
    <row r="428" spans="1:24" ht="45" x14ac:dyDescent="0.25">
      <c r="A428" s="224" t="s">
        <v>139</v>
      </c>
      <c r="B428" s="160" t="s">
        <v>312</v>
      </c>
      <c r="C428" s="160" t="s">
        <v>174</v>
      </c>
      <c r="D428" s="160" t="s">
        <v>248</v>
      </c>
      <c r="E428" s="47" t="s">
        <v>34</v>
      </c>
      <c r="F428" s="126"/>
      <c r="G428" s="97"/>
      <c r="H428" s="97"/>
      <c r="I428" s="25">
        <v>2</v>
      </c>
      <c r="J428" s="26">
        <v>3</v>
      </c>
      <c r="K428" s="85">
        <v>42156</v>
      </c>
      <c r="L428" s="250"/>
      <c r="M428" s="253"/>
      <c r="U428" s="218">
        <v>56</v>
      </c>
      <c r="V428" s="19" t="s">
        <v>244</v>
      </c>
      <c r="W428" s="19"/>
      <c r="X428" s="241"/>
    </row>
    <row r="429" spans="1:24" ht="45" x14ac:dyDescent="0.25">
      <c r="A429" s="224" t="s">
        <v>139</v>
      </c>
      <c r="B429" s="160" t="s">
        <v>312</v>
      </c>
      <c r="C429" s="160" t="s">
        <v>174</v>
      </c>
      <c r="D429" s="160" t="s">
        <v>260</v>
      </c>
      <c r="E429" s="161" t="s">
        <v>35</v>
      </c>
      <c r="F429" s="96"/>
      <c r="G429" s="96"/>
      <c r="H429" s="96"/>
      <c r="I429" s="25">
        <v>1</v>
      </c>
      <c r="J429" s="26">
        <v>2</v>
      </c>
      <c r="K429" s="85">
        <v>42156</v>
      </c>
      <c r="L429" s="250"/>
      <c r="M429" s="253"/>
      <c r="U429" s="218">
        <v>57</v>
      </c>
      <c r="V429" s="19" t="s">
        <v>244</v>
      </c>
      <c r="W429" s="19"/>
      <c r="X429" s="241"/>
    </row>
    <row r="430" spans="1:24" ht="45" x14ac:dyDescent="0.25">
      <c r="A430" s="224" t="s">
        <v>139</v>
      </c>
      <c r="B430" s="160" t="s">
        <v>312</v>
      </c>
      <c r="C430" s="160" t="s">
        <v>174</v>
      </c>
      <c r="D430" s="160" t="s">
        <v>249</v>
      </c>
      <c r="E430" s="162" t="s">
        <v>36</v>
      </c>
      <c r="F430" s="127"/>
      <c r="G430" s="98"/>
      <c r="H430" s="98"/>
      <c r="I430" s="25">
        <v>1</v>
      </c>
      <c r="J430" s="26">
        <v>2</v>
      </c>
      <c r="K430" s="85">
        <v>42156</v>
      </c>
      <c r="L430" s="250"/>
      <c r="M430" s="253"/>
      <c r="U430" s="218">
        <v>58</v>
      </c>
      <c r="V430" s="19" t="s">
        <v>244</v>
      </c>
      <c r="W430" s="19"/>
      <c r="X430" s="241"/>
    </row>
    <row r="431" spans="1:24" ht="45" x14ac:dyDescent="0.25">
      <c r="A431" s="224" t="s">
        <v>139</v>
      </c>
      <c r="B431" s="160" t="s">
        <v>312</v>
      </c>
      <c r="C431" s="160" t="s">
        <v>174</v>
      </c>
      <c r="D431" s="160" t="s">
        <v>261</v>
      </c>
      <c r="E431" s="47" t="s">
        <v>37</v>
      </c>
      <c r="F431" s="126"/>
      <c r="G431" s="97"/>
      <c r="H431" s="97"/>
      <c r="I431" s="26">
        <v>2</v>
      </c>
      <c r="J431" s="26">
        <v>3</v>
      </c>
      <c r="K431" s="85">
        <v>42156</v>
      </c>
      <c r="L431" s="250"/>
      <c r="M431" s="253"/>
      <c r="U431" s="218">
        <v>59</v>
      </c>
      <c r="V431" s="19" t="s">
        <v>244</v>
      </c>
      <c r="W431" s="19"/>
      <c r="X431" s="241"/>
    </row>
    <row r="432" spans="1:24" ht="45.75" thickBot="1" x14ac:dyDescent="0.3">
      <c r="A432" s="225" t="s">
        <v>139</v>
      </c>
      <c r="B432" s="163" t="s">
        <v>312</v>
      </c>
      <c r="C432" s="163" t="s">
        <v>174</v>
      </c>
      <c r="D432" s="163" t="s">
        <v>262</v>
      </c>
      <c r="E432" s="164" t="s">
        <v>38</v>
      </c>
      <c r="F432" s="128"/>
      <c r="G432" s="129"/>
      <c r="H432" s="129"/>
      <c r="I432" s="31">
        <v>1</v>
      </c>
      <c r="J432" s="31">
        <v>2</v>
      </c>
      <c r="K432" s="86">
        <v>42156</v>
      </c>
      <c r="L432" s="251"/>
      <c r="M432" s="254"/>
      <c r="U432" s="218">
        <v>60</v>
      </c>
      <c r="V432" s="19" t="s">
        <v>244</v>
      </c>
      <c r="W432" s="19"/>
      <c r="X432" s="241"/>
    </row>
    <row r="433" spans="1:24" ht="45.75" thickTop="1" x14ac:dyDescent="0.25">
      <c r="A433" s="226" t="s">
        <v>139</v>
      </c>
      <c r="B433" s="165" t="s">
        <v>312</v>
      </c>
      <c r="C433" s="165" t="s">
        <v>175</v>
      </c>
      <c r="D433" s="165" t="s">
        <v>250</v>
      </c>
      <c r="E433" s="166" t="s">
        <v>348</v>
      </c>
      <c r="F433" s="130"/>
      <c r="G433" s="130"/>
      <c r="H433" s="130"/>
      <c r="I433" s="32">
        <v>2</v>
      </c>
      <c r="J433" s="32">
        <v>3</v>
      </c>
      <c r="K433" s="203">
        <v>42156</v>
      </c>
      <c r="L433" s="249" t="str">
        <f t="shared" ref="L433:M433" si="31">CONCATENATE("Level"," ",MIN(I433:I442))</f>
        <v>Level 1</v>
      </c>
      <c r="M433" s="252" t="str">
        <f t="shared" si="31"/>
        <v>Level 2</v>
      </c>
      <c r="U433" s="218">
        <v>1</v>
      </c>
      <c r="V433" s="19" t="s">
        <v>244</v>
      </c>
      <c r="W433" s="19"/>
      <c r="X433" s="241"/>
    </row>
    <row r="434" spans="1:24" ht="45" x14ac:dyDescent="0.25">
      <c r="A434" s="228" t="s">
        <v>139</v>
      </c>
      <c r="B434" s="199" t="s">
        <v>312</v>
      </c>
      <c r="C434" s="199" t="s">
        <v>175</v>
      </c>
      <c r="D434" s="199" t="s">
        <v>266</v>
      </c>
      <c r="E434" s="200" t="s">
        <v>348</v>
      </c>
      <c r="F434" s="201"/>
      <c r="G434" s="201"/>
      <c r="H434" s="201"/>
      <c r="I434" s="202">
        <v>1</v>
      </c>
      <c r="J434" s="202">
        <v>2</v>
      </c>
      <c r="K434" s="88">
        <v>42156</v>
      </c>
      <c r="L434" s="250"/>
      <c r="M434" s="253"/>
      <c r="U434" s="218">
        <v>2</v>
      </c>
      <c r="V434" s="19" t="s">
        <v>244</v>
      </c>
      <c r="W434" s="19"/>
      <c r="X434" s="241"/>
    </row>
    <row r="435" spans="1:24" ht="75" x14ac:dyDescent="0.25">
      <c r="A435" s="228" t="s">
        <v>139</v>
      </c>
      <c r="B435" s="199" t="s">
        <v>312</v>
      </c>
      <c r="C435" s="199" t="s">
        <v>175</v>
      </c>
      <c r="D435" s="199" t="s">
        <v>252</v>
      </c>
      <c r="E435" s="200" t="s">
        <v>348</v>
      </c>
      <c r="F435" s="201"/>
      <c r="G435" s="201"/>
      <c r="H435" s="201"/>
      <c r="I435" s="202">
        <v>1</v>
      </c>
      <c r="J435" s="202">
        <v>2</v>
      </c>
      <c r="K435" s="88">
        <v>42156</v>
      </c>
      <c r="L435" s="250"/>
      <c r="M435" s="253"/>
      <c r="U435" s="218">
        <v>3</v>
      </c>
      <c r="V435" s="19" t="s">
        <v>244</v>
      </c>
      <c r="W435" s="19"/>
      <c r="X435" s="241"/>
    </row>
    <row r="436" spans="1:24" ht="45" x14ac:dyDescent="0.25">
      <c r="A436" s="228" t="s">
        <v>139</v>
      </c>
      <c r="B436" s="199" t="s">
        <v>312</v>
      </c>
      <c r="C436" s="199" t="s">
        <v>175</v>
      </c>
      <c r="D436" s="199" t="s">
        <v>259</v>
      </c>
      <c r="E436" s="200" t="s">
        <v>0</v>
      </c>
      <c r="F436" s="201"/>
      <c r="G436" s="201"/>
      <c r="H436" s="201"/>
      <c r="I436" s="202">
        <v>1</v>
      </c>
      <c r="J436" s="202">
        <v>2</v>
      </c>
      <c r="K436" s="88">
        <v>42156</v>
      </c>
      <c r="L436" s="250"/>
      <c r="M436" s="253"/>
      <c r="U436" s="218">
        <v>55</v>
      </c>
      <c r="V436" s="19" t="s">
        <v>244</v>
      </c>
      <c r="W436" s="19"/>
      <c r="X436" s="241"/>
    </row>
    <row r="437" spans="1:24" ht="45" x14ac:dyDescent="0.25">
      <c r="A437" s="227" t="s">
        <v>139</v>
      </c>
      <c r="B437" s="167" t="s">
        <v>312</v>
      </c>
      <c r="C437" s="167" t="s">
        <v>175</v>
      </c>
      <c r="D437" s="167" t="s">
        <v>247</v>
      </c>
      <c r="E437" s="50" t="s">
        <v>34</v>
      </c>
      <c r="F437" s="131"/>
      <c r="G437" s="92"/>
      <c r="H437" s="92"/>
      <c r="I437" s="6">
        <v>1</v>
      </c>
      <c r="J437" s="5">
        <v>2</v>
      </c>
      <c r="K437" s="88">
        <v>42156</v>
      </c>
      <c r="L437" s="250"/>
      <c r="M437" s="253"/>
      <c r="U437" s="218">
        <v>56</v>
      </c>
      <c r="V437" s="19" t="s">
        <v>244</v>
      </c>
      <c r="W437" s="19"/>
      <c r="X437" s="241"/>
    </row>
    <row r="438" spans="1:24" ht="45" x14ac:dyDescent="0.25">
      <c r="A438" s="227" t="s">
        <v>139</v>
      </c>
      <c r="B438" s="167" t="s">
        <v>312</v>
      </c>
      <c r="C438" s="167" t="s">
        <v>175</v>
      </c>
      <c r="D438" s="167" t="s">
        <v>248</v>
      </c>
      <c r="E438" s="50" t="s">
        <v>34</v>
      </c>
      <c r="F438" s="131"/>
      <c r="G438" s="92"/>
      <c r="H438" s="92"/>
      <c r="I438" s="6">
        <v>2</v>
      </c>
      <c r="J438" s="5">
        <v>3</v>
      </c>
      <c r="K438" s="88">
        <v>42156</v>
      </c>
      <c r="L438" s="250"/>
      <c r="M438" s="253"/>
      <c r="U438" s="218">
        <v>56</v>
      </c>
      <c r="V438" s="19" t="s">
        <v>244</v>
      </c>
      <c r="W438" s="19"/>
      <c r="X438" s="241"/>
    </row>
    <row r="439" spans="1:24" ht="45" x14ac:dyDescent="0.25">
      <c r="A439" s="227" t="s">
        <v>139</v>
      </c>
      <c r="B439" s="167" t="s">
        <v>312</v>
      </c>
      <c r="C439" s="167" t="s">
        <v>175</v>
      </c>
      <c r="D439" s="167" t="s">
        <v>260</v>
      </c>
      <c r="E439" s="168" t="s">
        <v>35</v>
      </c>
      <c r="F439" s="93"/>
      <c r="G439" s="93"/>
      <c r="H439" s="93"/>
      <c r="I439" s="6">
        <v>2</v>
      </c>
      <c r="J439" s="5">
        <v>3</v>
      </c>
      <c r="K439" s="88">
        <v>42156</v>
      </c>
      <c r="L439" s="250"/>
      <c r="M439" s="253"/>
      <c r="U439" s="218">
        <v>57</v>
      </c>
      <c r="V439" s="19" t="s">
        <v>244</v>
      </c>
      <c r="W439" s="19"/>
      <c r="X439" s="241"/>
    </row>
    <row r="440" spans="1:24" ht="45" x14ac:dyDescent="0.25">
      <c r="A440" s="227" t="s">
        <v>139</v>
      </c>
      <c r="B440" s="167" t="s">
        <v>312</v>
      </c>
      <c r="C440" s="167" t="s">
        <v>175</v>
      </c>
      <c r="D440" s="167" t="s">
        <v>249</v>
      </c>
      <c r="E440" s="169" t="s">
        <v>36</v>
      </c>
      <c r="F440" s="132"/>
      <c r="G440" s="91"/>
      <c r="H440" s="91"/>
      <c r="I440" s="6">
        <v>2</v>
      </c>
      <c r="J440" s="5">
        <v>3</v>
      </c>
      <c r="K440" s="88">
        <v>42156</v>
      </c>
      <c r="L440" s="250"/>
      <c r="M440" s="253"/>
      <c r="U440" s="218">
        <v>58</v>
      </c>
      <c r="V440" s="19" t="s">
        <v>244</v>
      </c>
      <c r="W440" s="19"/>
      <c r="X440" s="241"/>
    </row>
    <row r="441" spans="1:24" ht="45" x14ac:dyDescent="0.25">
      <c r="A441" s="227" t="s">
        <v>139</v>
      </c>
      <c r="B441" s="167" t="s">
        <v>312</v>
      </c>
      <c r="C441" s="167" t="s">
        <v>175</v>
      </c>
      <c r="D441" s="167" t="s">
        <v>261</v>
      </c>
      <c r="E441" s="50" t="s">
        <v>37</v>
      </c>
      <c r="F441" s="131"/>
      <c r="G441" s="92"/>
      <c r="H441" s="92"/>
      <c r="I441" s="5">
        <v>2</v>
      </c>
      <c r="J441" s="5">
        <v>3</v>
      </c>
      <c r="K441" s="88">
        <v>42156</v>
      </c>
      <c r="L441" s="250"/>
      <c r="M441" s="253"/>
      <c r="U441" s="218">
        <v>59</v>
      </c>
      <c r="V441" s="19" t="s">
        <v>244</v>
      </c>
      <c r="W441" s="19"/>
      <c r="X441" s="241"/>
    </row>
    <row r="442" spans="1:24" ht="45.75" thickBot="1" x14ac:dyDescent="0.3">
      <c r="A442" s="229" t="s">
        <v>139</v>
      </c>
      <c r="B442" s="170" t="s">
        <v>312</v>
      </c>
      <c r="C442" s="170" t="s">
        <v>175</v>
      </c>
      <c r="D442" s="170" t="s">
        <v>262</v>
      </c>
      <c r="E442" s="171" t="s">
        <v>38</v>
      </c>
      <c r="F442" s="133"/>
      <c r="G442" s="101"/>
      <c r="H442" s="101"/>
      <c r="I442" s="33">
        <v>2</v>
      </c>
      <c r="J442" s="33">
        <v>3</v>
      </c>
      <c r="K442" s="89">
        <v>42156</v>
      </c>
      <c r="L442" s="251"/>
      <c r="M442" s="254"/>
      <c r="U442" s="218">
        <v>60</v>
      </c>
      <c r="V442" s="19" t="s">
        <v>244</v>
      </c>
      <c r="W442" s="19"/>
      <c r="X442" s="241"/>
    </row>
    <row r="443" spans="1:24" ht="45.75" thickTop="1" x14ac:dyDescent="0.25">
      <c r="A443" s="231" t="s">
        <v>139</v>
      </c>
      <c r="B443" s="158" t="s">
        <v>312</v>
      </c>
      <c r="C443" s="158" t="s">
        <v>176</v>
      </c>
      <c r="D443" s="158" t="s">
        <v>250</v>
      </c>
      <c r="E443" s="159" t="s">
        <v>348</v>
      </c>
      <c r="F443" s="63"/>
      <c r="G443" s="63"/>
      <c r="H443" s="63"/>
      <c r="I443" s="30">
        <v>3</v>
      </c>
      <c r="J443" s="30">
        <v>3</v>
      </c>
      <c r="K443" s="233">
        <v>42156</v>
      </c>
      <c r="L443" s="249" t="str">
        <f t="shared" ref="L443:M443" si="32">CONCATENATE("Level"," ",MIN(I443:I453))</f>
        <v>Level 1</v>
      </c>
      <c r="M443" s="252" t="str">
        <f t="shared" si="32"/>
        <v>Level 2</v>
      </c>
      <c r="U443" s="218">
        <v>1</v>
      </c>
      <c r="V443" s="19" t="s">
        <v>244</v>
      </c>
      <c r="W443" s="19"/>
      <c r="X443" s="241"/>
    </row>
    <row r="444" spans="1:24" ht="45" x14ac:dyDescent="0.25">
      <c r="A444" s="230" t="s">
        <v>139</v>
      </c>
      <c r="B444" s="190" t="s">
        <v>312</v>
      </c>
      <c r="C444" s="190" t="s">
        <v>176</v>
      </c>
      <c r="D444" s="190" t="s">
        <v>266</v>
      </c>
      <c r="E444" s="191" t="s">
        <v>348</v>
      </c>
      <c r="F444" s="192"/>
      <c r="G444" s="192"/>
      <c r="H444" s="192"/>
      <c r="I444" s="193">
        <v>3</v>
      </c>
      <c r="J444" s="193">
        <v>3</v>
      </c>
      <c r="K444" s="85">
        <v>42156</v>
      </c>
      <c r="L444" s="250"/>
      <c r="M444" s="253"/>
      <c r="U444" s="218">
        <v>2</v>
      </c>
      <c r="V444" s="19" t="s">
        <v>244</v>
      </c>
      <c r="W444" s="19"/>
      <c r="X444" s="241"/>
    </row>
    <row r="445" spans="1:24" ht="60" x14ac:dyDescent="0.25">
      <c r="A445" s="230" t="s">
        <v>139</v>
      </c>
      <c r="B445" s="190" t="s">
        <v>312</v>
      </c>
      <c r="C445" s="190" t="s">
        <v>176</v>
      </c>
      <c r="D445" s="190" t="s">
        <v>313</v>
      </c>
      <c r="E445" s="191" t="s">
        <v>348</v>
      </c>
      <c r="F445" s="192"/>
      <c r="G445" s="192"/>
      <c r="H445" s="192"/>
      <c r="I445" s="193">
        <v>3</v>
      </c>
      <c r="J445" s="193">
        <v>3</v>
      </c>
      <c r="K445" s="85">
        <v>42156</v>
      </c>
      <c r="L445" s="250"/>
      <c r="M445" s="253"/>
      <c r="U445" s="218">
        <v>31</v>
      </c>
      <c r="V445" s="19" t="s">
        <v>244</v>
      </c>
      <c r="W445" s="19"/>
      <c r="X445" s="241"/>
    </row>
    <row r="446" spans="1:24" ht="75" x14ac:dyDescent="0.25">
      <c r="A446" s="230" t="s">
        <v>139</v>
      </c>
      <c r="B446" s="190" t="s">
        <v>312</v>
      </c>
      <c r="C446" s="190" t="s">
        <v>176</v>
      </c>
      <c r="D446" s="190" t="s">
        <v>252</v>
      </c>
      <c r="E446" s="191" t="s">
        <v>348</v>
      </c>
      <c r="F446" s="192"/>
      <c r="G446" s="192"/>
      <c r="H446" s="192"/>
      <c r="I446" s="193">
        <v>3</v>
      </c>
      <c r="J446" s="193">
        <v>3</v>
      </c>
      <c r="K446" s="85">
        <v>42156</v>
      </c>
      <c r="L446" s="250"/>
      <c r="M446" s="253"/>
      <c r="U446" s="218">
        <v>3</v>
      </c>
      <c r="V446" s="19" t="s">
        <v>244</v>
      </c>
      <c r="W446" s="19"/>
      <c r="X446" s="241"/>
    </row>
    <row r="447" spans="1:24" ht="45" x14ac:dyDescent="0.25">
      <c r="A447" s="230" t="s">
        <v>139</v>
      </c>
      <c r="B447" s="190" t="s">
        <v>312</v>
      </c>
      <c r="C447" s="190" t="s">
        <v>176</v>
      </c>
      <c r="D447" s="190" t="s">
        <v>263</v>
      </c>
      <c r="E447" s="191" t="s">
        <v>0</v>
      </c>
      <c r="F447" s="192"/>
      <c r="G447" s="192"/>
      <c r="H447" s="192"/>
      <c r="I447" s="193">
        <v>2</v>
      </c>
      <c r="J447" s="193">
        <v>2</v>
      </c>
      <c r="K447" s="85">
        <v>42156</v>
      </c>
      <c r="L447" s="250"/>
      <c r="M447" s="253"/>
      <c r="U447" s="218">
        <v>55</v>
      </c>
      <c r="V447" s="19" t="s">
        <v>244</v>
      </c>
      <c r="W447" s="19"/>
      <c r="X447" s="241"/>
    </row>
    <row r="448" spans="1:24" ht="45" x14ac:dyDescent="0.25">
      <c r="A448" s="230" t="s">
        <v>139</v>
      </c>
      <c r="B448" s="190" t="s">
        <v>312</v>
      </c>
      <c r="C448" s="190" t="s">
        <v>176</v>
      </c>
      <c r="D448" s="190" t="s">
        <v>247</v>
      </c>
      <c r="E448" s="47" t="s">
        <v>34</v>
      </c>
      <c r="F448" s="192"/>
      <c r="G448" s="192"/>
      <c r="H448" s="192"/>
      <c r="I448" s="193">
        <v>3</v>
      </c>
      <c r="J448" s="193">
        <v>3</v>
      </c>
      <c r="K448" s="85">
        <v>42156</v>
      </c>
      <c r="L448" s="250"/>
      <c r="M448" s="253"/>
      <c r="U448" s="218">
        <v>56</v>
      </c>
      <c r="V448" s="19" t="s">
        <v>244</v>
      </c>
      <c r="W448" s="19"/>
      <c r="X448" s="241"/>
    </row>
    <row r="449" spans="1:24" ht="45" x14ac:dyDescent="0.25">
      <c r="A449" s="224" t="s">
        <v>139</v>
      </c>
      <c r="B449" s="160" t="s">
        <v>312</v>
      </c>
      <c r="C449" s="160" t="s">
        <v>176</v>
      </c>
      <c r="D449" s="160" t="s">
        <v>248</v>
      </c>
      <c r="E449" s="47" t="s">
        <v>34</v>
      </c>
      <c r="F449" s="126"/>
      <c r="G449" s="97"/>
      <c r="H449" s="97"/>
      <c r="I449" s="25">
        <v>3</v>
      </c>
      <c r="J449" s="26">
        <v>3</v>
      </c>
      <c r="K449" s="85">
        <v>42156</v>
      </c>
      <c r="L449" s="250"/>
      <c r="M449" s="253"/>
      <c r="U449" s="218">
        <v>56</v>
      </c>
      <c r="V449" s="19" t="s">
        <v>244</v>
      </c>
      <c r="W449" s="19"/>
      <c r="X449" s="241"/>
    </row>
    <row r="450" spans="1:24" ht="45" x14ac:dyDescent="0.25">
      <c r="A450" s="224" t="s">
        <v>139</v>
      </c>
      <c r="B450" s="160" t="s">
        <v>312</v>
      </c>
      <c r="C450" s="160" t="s">
        <v>176</v>
      </c>
      <c r="D450" s="160" t="s">
        <v>260</v>
      </c>
      <c r="E450" s="161" t="s">
        <v>35</v>
      </c>
      <c r="F450" s="96"/>
      <c r="G450" s="96"/>
      <c r="H450" s="96"/>
      <c r="I450" s="25">
        <v>1</v>
      </c>
      <c r="J450" s="26">
        <v>3</v>
      </c>
      <c r="K450" s="85">
        <v>42156</v>
      </c>
      <c r="L450" s="250"/>
      <c r="M450" s="253"/>
      <c r="U450" s="218">
        <v>57</v>
      </c>
      <c r="V450" s="19" t="s">
        <v>244</v>
      </c>
      <c r="W450" s="19"/>
      <c r="X450" s="241"/>
    </row>
    <row r="451" spans="1:24" ht="45" x14ac:dyDescent="0.25">
      <c r="A451" s="224" t="s">
        <v>139</v>
      </c>
      <c r="B451" s="160" t="s">
        <v>312</v>
      </c>
      <c r="C451" s="160" t="s">
        <v>176</v>
      </c>
      <c r="D451" s="160" t="s">
        <v>249</v>
      </c>
      <c r="E451" s="162" t="s">
        <v>36</v>
      </c>
      <c r="F451" s="127"/>
      <c r="G451" s="98"/>
      <c r="H451" s="98"/>
      <c r="I451" s="25">
        <v>2</v>
      </c>
      <c r="J451" s="26">
        <v>3</v>
      </c>
      <c r="K451" s="85">
        <v>42156</v>
      </c>
      <c r="L451" s="250"/>
      <c r="M451" s="253"/>
      <c r="U451" s="218">
        <v>58</v>
      </c>
      <c r="V451" s="19" t="s">
        <v>244</v>
      </c>
      <c r="W451" s="19"/>
      <c r="X451" s="241"/>
    </row>
    <row r="452" spans="1:24" ht="45" x14ac:dyDescent="0.25">
      <c r="A452" s="224" t="s">
        <v>139</v>
      </c>
      <c r="B452" s="160" t="s">
        <v>312</v>
      </c>
      <c r="C452" s="160" t="s">
        <v>176</v>
      </c>
      <c r="D452" s="160" t="s">
        <v>261</v>
      </c>
      <c r="E452" s="47" t="s">
        <v>37</v>
      </c>
      <c r="F452" s="126"/>
      <c r="G452" s="97"/>
      <c r="H452" s="97"/>
      <c r="I452" s="26">
        <v>2</v>
      </c>
      <c r="J452" s="26">
        <v>3</v>
      </c>
      <c r="K452" s="85">
        <v>42156</v>
      </c>
      <c r="L452" s="250"/>
      <c r="M452" s="253"/>
      <c r="U452" s="218">
        <v>59</v>
      </c>
      <c r="V452" s="19" t="s">
        <v>244</v>
      </c>
      <c r="W452" s="19"/>
      <c r="X452" s="241"/>
    </row>
    <row r="453" spans="1:24" ht="45.75" thickBot="1" x14ac:dyDescent="0.3">
      <c r="A453" s="225" t="s">
        <v>139</v>
      </c>
      <c r="B453" s="163" t="s">
        <v>312</v>
      </c>
      <c r="C453" s="163" t="s">
        <v>176</v>
      </c>
      <c r="D453" s="163" t="s">
        <v>262</v>
      </c>
      <c r="E453" s="164" t="s">
        <v>38</v>
      </c>
      <c r="F453" s="128"/>
      <c r="G453" s="129"/>
      <c r="H453" s="129"/>
      <c r="I453" s="31">
        <v>1</v>
      </c>
      <c r="J453" s="31">
        <v>3</v>
      </c>
      <c r="K453" s="86">
        <v>42156</v>
      </c>
      <c r="L453" s="251"/>
      <c r="M453" s="254"/>
      <c r="U453" s="218">
        <v>60</v>
      </c>
      <c r="V453" s="19" t="s">
        <v>244</v>
      </c>
      <c r="W453" s="19"/>
      <c r="X453" s="241"/>
    </row>
    <row r="454" spans="1:24" ht="45.75" thickTop="1" x14ac:dyDescent="0.25">
      <c r="A454" s="226" t="s">
        <v>139</v>
      </c>
      <c r="B454" s="165" t="s">
        <v>312</v>
      </c>
      <c r="C454" s="165" t="s">
        <v>124</v>
      </c>
      <c r="D454" s="165" t="s">
        <v>250</v>
      </c>
      <c r="E454" s="166" t="s">
        <v>348</v>
      </c>
      <c r="F454" s="130"/>
      <c r="G454" s="130"/>
      <c r="H454" s="130"/>
      <c r="I454" s="32">
        <v>2</v>
      </c>
      <c r="J454" s="32">
        <v>2</v>
      </c>
      <c r="K454" s="203">
        <v>42156</v>
      </c>
      <c r="L454" s="249" t="str">
        <f t="shared" ref="L454:M454" si="33">CONCATENATE("Level"," ",MIN(I454:I463))</f>
        <v>Level 1</v>
      </c>
      <c r="M454" s="252" t="str">
        <f t="shared" si="33"/>
        <v>Level 1</v>
      </c>
      <c r="U454" s="218">
        <v>1</v>
      </c>
      <c r="V454" s="19" t="s">
        <v>244</v>
      </c>
      <c r="W454" s="19" t="s">
        <v>209</v>
      </c>
      <c r="X454" s="241"/>
    </row>
    <row r="455" spans="1:24" ht="45" x14ac:dyDescent="0.25">
      <c r="A455" s="228" t="s">
        <v>139</v>
      </c>
      <c r="B455" s="199" t="s">
        <v>312</v>
      </c>
      <c r="C455" s="199" t="s">
        <v>124</v>
      </c>
      <c r="D455" s="199" t="s">
        <v>266</v>
      </c>
      <c r="E455" s="200" t="s">
        <v>348</v>
      </c>
      <c r="F455" s="201"/>
      <c r="G455" s="201"/>
      <c r="H455" s="201"/>
      <c r="I455" s="202">
        <v>2</v>
      </c>
      <c r="J455" s="202">
        <v>3</v>
      </c>
      <c r="K455" s="88">
        <v>42156</v>
      </c>
      <c r="L455" s="250"/>
      <c r="M455" s="253"/>
      <c r="U455" s="218">
        <v>2</v>
      </c>
      <c r="V455" s="19" t="s">
        <v>244</v>
      </c>
      <c r="W455" s="19" t="s">
        <v>209</v>
      </c>
      <c r="X455" s="241"/>
    </row>
    <row r="456" spans="1:24" ht="75" x14ac:dyDescent="0.25">
      <c r="A456" s="228" t="s">
        <v>139</v>
      </c>
      <c r="B456" s="199" t="s">
        <v>312</v>
      </c>
      <c r="C456" s="199" t="s">
        <v>124</v>
      </c>
      <c r="D456" s="199" t="s">
        <v>252</v>
      </c>
      <c r="E456" s="200" t="s">
        <v>348</v>
      </c>
      <c r="F456" s="201"/>
      <c r="G456" s="201"/>
      <c r="H456" s="201"/>
      <c r="I456" s="202">
        <v>1</v>
      </c>
      <c r="J456" s="202">
        <v>1</v>
      </c>
      <c r="K456" s="88">
        <v>42156</v>
      </c>
      <c r="L456" s="250"/>
      <c r="M456" s="253"/>
      <c r="U456" s="218">
        <v>3</v>
      </c>
      <c r="V456" s="19" t="s">
        <v>244</v>
      </c>
      <c r="W456" s="19" t="s">
        <v>209</v>
      </c>
      <c r="X456" s="241"/>
    </row>
    <row r="457" spans="1:24" ht="45" x14ac:dyDescent="0.25">
      <c r="A457" s="228" t="s">
        <v>139</v>
      </c>
      <c r="B457" s="199" t="s">
        <v>312</v>
      </c>
      <c r="C457" s="199" t="s">
        <v>124</v>
      </c>
      <c r="D457" s="199" t="s">
        <v>263</v>
      </c>
      <c r="E457" s="200" t="s">
        <v>0</v>
      </c>
      <c r="F457" s="201"/>
      <c r="G457" s="201"/>
      <c r="H457" s="201"/>
      <c r="I457" s="202">
        <v>2</v>
      </c>
      <c r="J457" s="202">
        <v>3</v>
      </c>
      <c r="K457" s="88">
        <v>42156</v>
      </c>
      <c r="L457" s="250"/>
      <c r="M457" s="253"/>
      <c r="U457" s="218">
        <v>55</v>
      </c>
      <c r="V457" s="19" t="s">
        <v>244</v>
      </c>
      <c r="W457" s="19" t="s">
        <v>209</v>
      </c>
      <c r="X457" s="241"/>
    </row>
    <row r="458" spans="1:24" ht="45" x14ac:dyDescent="0.25">
      <c r="A458" s="228" t="s">
        <v>139</v>
      </c>
      <c r="B458" s="199" t="s">
        <v>312</v>
      </c>
      <c r="C458" s="199" t="s">
        <v>124</v>
      </c>
      <c r="D458" s="199" t="s">
        <v>247</v>
      </c>
      <c r="E458" s="50" t="s">
        <v>34</v>
      </c>
      <c r="F458" s="201"/>
      <c r="G458" s="201"/>
      <c r="H458" s="201"/>
      <c r="I458" s="202">
        <v>2</v>
      </c>
      <c r="J458" s="202">
        <v>2</v>
      </c>
      <c r="K458" s="88">
        <v>42156</v>
      </c>
      <c r="L458" s="250"/>
      <c r="M458" s="253"/>
      <c r="U458" s="218">
        <v>56</v>
      </c>
      <c r="V458" s="19" t="s">
        <v>244</v>
      </c>
      <c r="W458" s="19" t="s">
        <v>209</v>
      </c>
      <c r="X458" s="241"/>
    </row>
    <row r="459" spans="1:24" ht="45" x14ac:dyDescent="0.25">
      <c r="A459" s="227" t="s">
        <v>139</v>
      </c>
      <c r="B459" s="167" t="s">
        <v>312</v>
      </c>
      <c r="C459" s="167" t="s">
        <v>124</v>
      </c>
      <c r="D459" s="167" t="s">
        <v>248</v>
      </c>
      <c r="E459" s="50" t="s">
        <v>34</v>
      </c>
      <c r="F459" s="131"/>
      <c r="G459" s="92"/>
      <c r="H459" s="92"/>
      <c r="I459" s="6">
        <v>3</v>
      </c>
      <c r="J459" s="5">
        <v>3</v>
      </c>
      <c r="K459" s="88">
        <v>42156</v>
      </c>
      <c r="L459" s="250"/>
      <c r="M459" s="253"/>
      <c r="U459" s="218">
        <v>56</v>
      </c>
      <c r="V459" s="19" t="s">
        <v>244</v>
      </c>
      <c r="W459" s="19" t="s">
        <v>209</v>
      </c>
      <c r="X459" s="241"/>
    </row>
    <row r="460" spans="1:24" ht="45" x14ac:dyDescent="0.25">
      <c r="A460" s="227" t="s">
        <v>139</v>
      </c>
      <c r="B460" s="167" t="s">
        <v>312</v>
      </c>
      <c r="C460" s="167" t="s">
        <v>124</v>
      </c>
      <c r="D460" s="167" t="s">
        <v>260</v>
      </c>
      <c r="E460" s="168" t="s">
        <v>35</v>
      </c>
      <c r="F460" s="93"/>
      <c r="G460" s="93"/>
      <c r="H460" s="93"/>
      <c r="I460" s="6">
        <v>2</v>
      </c>
      <c r="J460" s="5">
        <v>3</v>
      </c>
      <c r="K460" s="88">
        <v>42156</v>
      </c>
      <c r="L460" s="250"/>
      <c r="M460" s="253"/>
      <c r="U460" s="218">
        <v>57</v>
      </c>
      <c r="V460" s="19" t="s">
        <v>244</v>
      </c>
      <c r="W460" s="19" t="s">
        <v>209</v>
      </c>
      <c r="X460" s="241"/>
    </row>
    <row r="461" spans="1:24" ht="45" x14ac:dyDescent="0.25">
      <c r="A461" s="227" t="s">
        <v>139</v>
      </c>
      <c r="B461" s="167" t="s">
        <v>312</v>
      </c>
      <c r="C461" s="167" t="s">
        <v>124</v>
      </c>
      <c r="D461" s="167" t="s">
        <v>249</v>
      </c>
      <c r="E461" s="169" t="s">
        <v>36</v>
      </c>
      <c r="F461" s="132"/>
      <c r="G461" s="91"/>
      <c r="H461" s="91"/>
      <c r="I461" s="6">
        <v>2</v>
      </c>
      <c r="J461" s="5">
        <v>3</v>
      </c>
      <c r="K461" s="88">
        <v>42156</v>
      </c>
      <c r="L461" s="250"/>
      <c r="M461" s="253"/>
      <c r="U461" s="218">
        <v>58</v>
      </c>
      <c r="V461" s="19" t="s">
        <v>244</v>
      </c>
      <c r="W461" s="19" t="s">
        <v>209</v>
      </c>
      <c r="X461" s="241"/>
    </row>
    <row r="462" spans="1:24" ht="45" x14ac:dyDescent="0.25">
      <c r="A462" s="227" t="s">
        <v>139</v>
      </c>
      <c r="B462" s="167" t="s">
        <v>312</v>
      </c>
      <c r="C462" s="167" t="s">
        <v>124</v>
      </c>
      <c r="D462" s="167" t="s">
        <v>261</v>
      </c>
      <c r="E462" s="50" t="s">
        <v>37</v>
      </c>
      <c r="F462" s="131"/>
      <c r="G462" s="92"/>
      <c r="H462" s="92"/>
      <c r="I462" s="5">
        <v>2</v>
      </c>
      <c r="J462" s="5">
        <v>3</v>
      </c>
      <c r="K462" s="88">
        <v>42156</v>
      </c>
      <c r="L462" s="250"/>
      <c r="M462" s="253"/>
      <c r="U462" s="218">
        <v>59</v>
      </c>
      <c r="V462" s="19" t="s">
        <v>244</v>
      </c>
      <c r="W462" s="19" t="s">
        <v>209</v>
      </c>
      <c r="X462" s="241"/>
    </row>
    <row r="463" spans="1:24" ht="45.75" thickBot="1" x14ac:dyDescent="0.3">
      <c r="A463" s="229" t="s">
        <v>139</v>
      </c>
      <c r="B463" s="170" t="s">
        <v>312</v>
      </c>
      <c r="C463" s="170" t="s">
        <v>124</v>
      </c>
      <c r="D463" s="170" t="s">
        <v>262</v>
      </c>
      <c r="E463" s="171" t="s">
        <v>38</v>
      </c>
      <c r="F463" s="133"/>
      <c r="G463" s="101"/>
      <c r="H463" s="101"/>
      <c r="I463" s="33">
        <v>2</v>
      </c>
      <c r="J463" s="33">
        <v>2</v>
      </c>
      <c r="K463" s="89">
        <v>42156</v>
      </c>
      <c r="L463" s="251"/>
      <c r="M463" s="254"/>
      <c r="U463" s="218">
        <v>60</v>
      </c>
      <c r="V463" s="19" t="s">
        <v>244</v>
      </c>
      <c r="W463" s="19" t="s">
        <v>209</v>
      </c>
      <c r="X463" s="241"/>
    </row>
    <row r="464" spans="1:24" ht="45.75" thickTop="1" x14ac:dyDescent="0.25">
      <c r="A464" s="231" t="s">
        <v>139</v>
      </c>
      <c r="B464" s="158" t="s">
        <v>312</v>
      </c>
      <c r="C464" s="158" t="s">
        <v>177</v>
      </c>
      <c r="D464" s="158" t="s">
        <v>295</v>
      </c>
      <c r="E464" s="159" t="s">
        <v>348</v>
      </c>
      <c r="F464" s="63"/>
      <c r="G464" s="63"/>
      <c r="H464" s="63"/>
      <c r="I464" s="30">
        <v>3</v>
      </c>
      <c r="J464" s="30">
        <v>3</v>
      </c>
      <c r="K464" s="233">
        <v>42156</v>
      </c>
      <c r="L464" s="249" t="str">
        <f t="shared" ref="L464:M464" si="34">CONCATENATE("Level"," ",MIN(I464:I475))</f>
        <v>Level 1</v>
      </c>
      <c r="M464" s="252" t="str">
        <f t="shared" si="34"/>
        <v>Level 1</v>
      </c>
      <c r="U464" s="218">
        <v>28</v>
      </c>
      <c r="V464" s="19" t="s">
        <v>244</v>
      </c>
      <c r="W464" s="19"/>
      <c r="X464" s="241"/>
    </row>
    <row r="465" spans="1:24" ht="45" x14ac:dyDescent="0.25">
      <c r="A465" s="230" t="s">
        <v>139</v>
      </c>
      <c r="B465" s="190" t="s">
        <v>312</v>
      </c>
      <c r="C465" s="190" t="s">
        <v>177</v>
      </c>
      <c r="D465" s="190" t="s">
        <v>250</v>
      </c>
      <c r="E465" s="191" t="s">
        <v>348</v>
      </c>
      <c r="F465" s="192"/>
      <c r="G465" s="192"/>
      <c r="H465" s="192"/>
      <c r="I465" s="193">
        <v>3</v>
      </c>
      <c r="J465" s="193">
        <v>3</v>
      </c>
      <c r="K465" s="85">
        <v>42156</v>
      </c>
      <c r="L465" s="250"/>
      <c r="M465" s="253"/>
      <c r="U465" s="218">
        <v>1</v>
      </c>
      <c r="V465" s="19" t="s">
        <v>244</v>
      </c>
      <c r="W465" s="19"/>
      <c r="X465" s="241"/>
    </row>
    <row r="466" spans="1:24" ht="45" x14ac:dyDescent="0.25">
      <c r="A466" s="230" t="s">
        <v>139</v>
      </c>
      <c r="B466" s="190" t="s">
        <v>312</v>
      </c>
      <c r="C466" s="190" t="s">
        <v>177</v>
      </c>
      <c r="D466" s="190" t="s">
        <v>266</v>
      </c>
      <c r="E466" s="191" t="s">
        <v>348</v>
      </c>
      <c r="F466" s="192"/>
      <c r="G466" s="192"/>
      <c r="H466" s="192"/>
      <c r="I466" s="193">
        <v>2</v>
      </c>
      <c r="J466" s="193">
        <v>3</v>
      </c>
      <c r="K466" s="85">
        <v>42156</v>
      </c>
      <c r="L466" s="250"/>
      <c r="M466" s="253"/>
      <c r="U466" s="218">
        <v>2</v>
      </c>
      <c r="V466" s="19" t="s">
        <v>244</v>
      </c>
      <c r="W466" s="19"/>
      <c r="X466" s="241"/>
    </row>
    <row r="467" spans="1:24" ht="45" x14ac:dyDescent="0.25">
      <c r="A467" s="230" t="s">
        <v>139</v>
      </c>
      <c r="B467" s="190" t="s">
        <v>312</v>
      </c>
      <c r="C467" s="190" t="s">
        <v>177</v>
      </c>
      <c r="D467" s="190" t="s">
        <v>314</v>
      </c>
      <c r="E467" s="191" t="s">
        <v>348</v>
      </c>
      <c r="F467" s="192"/>
      <c r="G467" s="192"/>
      <c r="H467" s="192"/>
      <c r="I467" s="193">
        <v>1</v>
      </c>
      <c r="J467" s="193">
        <v>1</v>
      </c>
      <c r="K467" s="85">
        <v>42156</v>
      </c>
      <c r="L467" s="250"/>
      <c r="M467" s="253"/>
      <c r="U467" s="218">
        <v>32</v>
      </c>
      <c r="V467" s="19" t="s">
        <v>244</v>
      </c>
      <c r="W467" s="19"/>
      <c r="X467" s="241"/>
    </row>
    <row r="468" spans="1:24" ht="75" x14ac:dyDescent="0.25">
      <c r="A468" s="230" t="s">
        <v>139</v>
      </c>
      <c r="B468" s="190" t="s">
        <v>312</v>
      </c>
      <c r="C468" s="190" t="s">
        <v>177</v>
      </c>
      <c r="D468" s="190" t="s">
        <v>252</v>
      </c>
      <c r="E468" s="191" t="s">
        <v>348</v>
      </c>
      <c r="F468" s="192"/>
      <c r="G468" s="192"/>
      <c r="H468" s="192"/>
      <c r="I468" s="193">
        <v>3</v>
      </c>
      <c r="J468" s="193">
        <v>3</v>
      </c>
      <c r="K468" s="85">
        <v>42156</v>
      </c>
      <c r="L468" s="250"/>
      <c r="M468" s="253"/>
      <c r="U468" s="218">
        <v>3</v>
      </c>
      <c r="V468" s="19" t="s">
        <v>244</v>
      </c>
      <c r="W468" s="19"/>
      <c r="X468" s="241"/>
    </row>
    <row r="469" spans="1:24" ht="45" x14ac:dyDescent="0.25">
      <c r="A469" s="230" t="s">
        <v>139</v>
      </c>
      <c r="B469" s="190" t="s">
        <v>312</v>
      </c>
      <c r="C469" s="190" t="s">
        <v>177</v>
      </c>
      <c r="D469" s="190" t="s">
        <v>263</v>
      </c>
      <c r="E469" s="191" t="s">
        <v>0</v>
      </c>
      <c r="F469" s="192"/>
      <c r="G469" s="192"/>
      <c r="H469" s="192"/>
      <c r="I469" s="193">
        <v>3</v>
      </c>
      <c r="J469" s="193">
        <v>3</v>
      </c>
      <c r="K469" s="85">
        <v>42156</v>
      </c>
      <c r="L469" s="250"/>
      <c r="M469" s="253"/>
      <c r="U469" s="218">
        <v>55</v>
      </c>
      <c r="V469" s="19" t="s">
        <v>244</v>
      </c>
      <c r="W469" s="19"/>
      <c r="X469" s="241"/>
    </row>
    <row r="470" spans="1:24" ht="45" x14ac:dyDescent="0.25">
      <c r="A470" s="230" t="s">
        <v>139</v>
      </c>
      <c r="B470" s="190" t="s">
        <v>312</v>
      </c>
      <c r="C470" s="190" t="s">
        <v>177</v>
      </c>
      <c r="D470" s="190" t="s">
        <v>247</v>
      </c>
      <c r="E470" s="47" t="s">
        <v>34</v>
      </c>
      <c r="F470" s="192"/>
      <c r="G470" s="192"/>
      <c r="H470" s="192"/>
      <c r="I470" s="193">
        <v>2</v>
      </c>
      <c r="J470" s="193">
        <v>3</v>
      </c>
      <c r="K470" s="85">
        <v>42156</v>
      </c>
      <c r="L470" s="250"/>
      <c r="M470" s="253"/>
      <c r="U470" s="218">
        <v>56</v>
      </c>
      <c r="V470" s="19" t="s">
        <v>244</v>
      </c>
      <c r="W470" s="19"/>
      <c r="X470" s="241"/>
    </row>
    <row r="471" spans="1:24" ht="45" x14ac:dyDescent="0.25">
      <c r="A471" s="224" t="s">
        <v>139</v>
      </c>
      <c r="B471" s="160" t="s">
        <v>312</v>
      </c>
      <c r="C471" s="160" t="s">
        <v>177</v>
      </c>
      <c r="D471" s="160" t="s">
        <v>248</v>
      </c>
      <c r="E471" s="47" t="s">
        <v>34</v>
      </c>
      <c r="F471" s="126"/>
      <c r="G471" s="97"/>
      <c r="H471" s="97"/>
      <c r="I471" s="25">
        <v>2</v>
      </c>
      <c r="J471" s="26">
        <v>2</v>
      </c>
      <c r="K471" s="85">
        <v>42156</v>
      </c>
      <c r="L471" s="250"/>
      <c r="M471" s="253"/>
      <c r="U471" s="218">
        <v>56</v>
      </c>
      <c r="V471" s="19" t="s">
        <v>244</v>
      </c>
      <c r="W471" s="19"/>
      <c r="X471" s="241"/>
    </row>
    <row r="472" spans="1:24" ht="45" x14ac:dyDescent="0.25">
      <c r="A472" s="224" t="s">
        <v>139</v>
      </c>
      <c r="B472" s="160" t="s">
        <v>312</v>
      </c>
      <c r="C472" s="160" t="s">
        <v>177</v>
      </c>
      <c r="D472" s="160" t="s">
        <v>260</v>
      </c>
      <c r="E472" s="161" t="s">
        <v>35</v>
      </c>
      <c r="F472" s="96"/>
      <c r="G472" s="96"/>
      <c r="H472" s="96"/>
      <c r="I472" s="25">
        <v>2</v>
      </c>
      <c r="J472" s="26">
        <v>3</v>
      </c>
      <c r="K472" s="85">
        <v>42156</v>
      </c>
      <c r="L472" s="250"/>
      <c r="M472" s="253"/>
      <c r="U472" s="218">
        <v>57</v>
      </c>
      <c r="V472" s="19" t="s">
        <v>244</v>
      </c>
      <c r="W472" s="19"/>
      <c r="X472" s="241"/>
    </row>
    <row r="473" spans="1:24" ht="45" x14ac:dyDescent="0.25">
      <c r="A473" s="224" t="s">
        <v>139</v>
      </c>
      <c r="B473" s="160" t="s">
        <v>312</v>
      </c>
      <c r="C473" s="160" t="s">
        <v>177</v>
      </c>
      <c r="D473" s="160" t="s">
        <v>249</v>
      </c>
      <c r="E473" s="162" t="s">
        <v>36</v>
      </c>
      <c r="F473" s="127"/>
      <c r="G473" s="98"/>
      <c r="H473" s="98"/>
      <c r="I473" s="25">
        <v>2</v>
      </c>
      <c r="J473" s="26">
        <v>3</v>
      </c>
      <c r="K473" s="85">
        <v>42156</v>
      </c>
      <c r="L473" s="250"/>
      <c r="M473" s="253"/>
      <c r="U473" s="218">
        <v>58</v>
      </c>
      <c r="V473" s="19" t="s">
        <v>244</v>
      </c>
      <c r="W473" s="19"/>
      <c r="X473" s="241"/>
    </row>
    <row r="474" spans="1:24" ht="45" x14ac:dyDescent="0.25">
      <c r="A474" s="224" t="s">
        <v>139</v>
      </c>
      <c r="B474" s="160" t="s">
        <v>312</v>
      </c>
      <c r="C474" s="160" t="s">
        <v>177</v>
      </c>
      <c r="D474" s="160" t="s">
        <v>261</v>
      </c>
      <c r="E474" s="47" t="s">
        <v>37</v>
      </c>
      <c r="F474" s="126"/>
      <c r="G474" s="97"/>
      <c r="H474" s="97"/>
      <c r="I474" s="26">
        <v>2</v>
      </c>
      <c r="J474" s="26">
        <v>3</v>
      </c>
      <c r="K474" s="85">
        <v>42156</v>
      </c>
      <c r="L474" s="250"/>
      <c r="M474" s="253"/>
      <c r="U474" s="218">
        <v>59</v>
      </c>
      <c r="V474" s="19" t="s">
        <v>244</v>
      </c>
      <c r="W474" s="19"/>
      <c r="X474" s="241"/>
    </row>
    <row r="475" spans="1:24" ht="45.75" thickBot="1" x14ac:dyDescent="0.3">
      <c r="A475" s="225" t="s">
        <v>139</v>
      </c>
      <c r="B475" s="163" t="s">
        <v>312</v>
      </c>
      <c r="C475" s="163" t="s">
        <v>177</v>
      </c>
      <c r="D475" s="163" t="s">
        <v>262</v>
      </c>
      <c r="E475" s="164" t="s">
        <v>38</v>
      </c>
      <c r="F475" s="128"/>
      <c r="G475" s="129"/>
      <c r="H475" s="129"/>
      <c r="I475" s="31">
        <v>2</v>
      </c>
      <c r="J475" s="31">
        <v>2</v>
      </c>
      <c r="K475" s="86">
        <v>42156</v>
      </c>
      <c r="L475" s="251"/>
      <c r="M475" s="254"/>
      <c r="U475" s="218">
        <v>60</v>
      </c>
      <c r="V475" s="19" t="s">
        <v>244</v>
      </c>
      <c r="W475" s="19"/>
      <c r="X475" s="241"/>
    </row>
    <row r="476" spans="1:24" ht="45.75" thickTop="1" x14ac:dyDescent="0.25">
      <c r="A476" s="226" t="s">
        <v>139</v>
      </c>
      <c r="B476" s="165" t="s">
        <v>312</v>
      </c>
      <c r="C476" s="165" t="s">
        <v>178</v>
      </c>
      <c r="D476" s="165" t="s">
        <v>315</v>
      </c>
      <c r="E476" s="166" t="s">
        <v>348</v>
      </c>
      <c r="F476" s="130"/>
      <c r="G476" s="130"/>
      <c r="H476" s="130"/>
      <c r="I476" s="32">
        <v>2</v>
      </c>
      <c r="J476" s="32">
        <v>4</v>
      </c>
      <c r="K476" s="203">
        <v>42156</v>
      </c>
      <c r="L476" s="249" t="str">
        <f t="shared" ref="L476:M476" si="35">CONCATENATE("Level"," ",MIN(I476:I486))</f>
        <v>Level 2</v>
      </c>
      <c r="M476" s="252" t="str">
        <f t="shared" si="35"/>
        <v>Level 2</v>
      </c>
      <c r="U476" s="218">
        <v>33</v>
      </c>
      <c r="V476" s="19" t="s">
        <v>244</v>
      </c>
      <c r="W476" s="19"/>
      <c r="X476" s="241"/>
    </row>
    <row r="477" spans="1:24" ht="45" x14ac:dyDescent="0.25">
      <c r="A477" s="227" t="s">
        <v>139</v>
      </c>
      <c r="B477" s="167" t="s">
        <v>312</v>
      </c>
      <c r="C477" s="167" t="s">
        <v>178</v>
      </c>
      <c r="D477" s="199" t="s">
        <v>250</v>
      </c>
      <c r="E477" s="200" t="s">
        <v>348</v>
      </c>
      <c r="F477" s="201"/>
      <c r="G477" s="201"/>
      <c r="H477" s="201"/>
      <c r="I477" s="202">
        <v>3</v>
      </c>
      <c r="J477" s="202">
        <v>4</v>
      </c>
      <c r="K477" s="88">
        <v>42156</v>
      </c>
      <c r="L477" s="250"/>
      <c r="M477" s="253"/>
      <c r="U477" s="218">
        <v>1</v>
      </c>
      <c r="V477" s="19" t="s">
        <v>244</v>
      </c>
      <c r="W477" s="19"/>
      <c r="X477" s="241"/>
    </row>
    <row r="478" spans="1:24" ht="45" x14ac:dyDescent="0.25">
      <c r="A478" s="227" t="s">
        <v>139</v>
      </c>
      <c r="B478" s="167" t="s">
        <v>312</v>
      </c>
      <c r="C478" s="167" t="s">
        <v>178</v>
      </c>
      <c r="D478" s="199" t="s">
        <v>266</v>
      </c>
      <c r="E478" s="200" t="s">
        <v>348</v>
      </c>
      <c r="F478" s="201"/>
      <c r="G478" s="201"/>
      <c r="H478" s="201"/>
      <c r="I478" s="202">
        <v>2</v>
      </c>
      <c r="J478" s="202">
        <v>3</v>
      </c>
      <c r="K478" s="88">
        <v>42156</v>
      </c>
      <c r="L478" s="250"/>
      <c r="M478" s="253"/>
      <c r="U478" s="218">
        <v>2</v>
      </c>
      <c r="V478" s="19" t="s">
        <v>244</v>
      </c>
      <c r="W478" s="19"/>
      <c r="X478" s="241"/>
    </row>
    <row r="479" spans="1:24" ht="75" x14ac:dyDescent="0.25">
      <c r="A479" s="227" t="s">
        <v>139</v>
      </c>
      <c r="B479" s="167" t="s">
        <v>312</v>
      </c>
      <c r="C479" s="167" t="s">
        <v>178</v>
      </c>
      <c r="D479" s="199" t="s">
        <v>252</v>
      </c>
      <c r="E479" s="200" t="s">
        <v>348</v>
      </c>
      <c r="F479" s="201"/>
      <c r="G479" s="201"/>
      <c r="H479" s="201"/>
      <c r="I479" s="202">
        <v>3</v>
      </c>
      <c r="J479" s="202">
        <v>3</v>
      </c>
      <c r="K479" s="88">
        <v>42156</v>
      </c>
      <c r="L479" s="250"/>
      <c r="M479" s="253"/>
      <c r="U479" s="218">
        <v>3</v>
      </c>
      <c r="V479" s="19" t="s">
        <v>244</v>
      </c>
      <c r="W479" s="19"/>
      <c r="X479" s="241"/>
    </row>
    <row r="480" spans="1:24" ht="45" x14ac:dyDescent="0.25">
      <c r="A480" s="227" t="s">
        <v>139</v>
      </c>
      <c r="B480" s="167" t="s">
        <v>312</v>
      </c>
      <c r="C480" s="167" t="s">
        <v>178</v>
      </c>
      <c r="D480" s="199" t="s">
        <v>263</v>
      </c>
      <c r="E480" s="200" t="s">
        <v>0</v>
      </c>
      <c r="F480" s="201"/>
      <c r="G480" s="201"/>
      <c r="H480" s="201"/>
      <c r="I480" s="202">
        <v>2</v>
      </c>
      <c r="J480" s="202">
        <v>2</v>
      </c>
      <c r="K480" s="88">
        <v>42156</v>
      </c>
      <c r="L480" s="250"/>
      <c r="M480" s="253"/>
      <c r="U480" s="218">
        <v>55</v>
      </c>
      <c r="V480" s="19" t="s">
        <v>244</v>
      </c>
      <c r="W480" s="19"/>
      <c r="X480" s="241"/>
    </row>
    <row r="481" spans="1:24" ht="45" x14ac:dyDescent="0.25">
      <c r="A481" s="227" t="s">
        <v>139</v>
      </c>
      <c r="B481" s="167" t="s">
        <v>312</v>
      </c>
      <c r="C481" s="167" t="s">
        <v>178</v>
      </c>
      <c r="D481" s="199" t="s">
        <v>247</v>
      </c>
      <c r="E481" s="50" t="s">
        <v>34</v>
      </c>
      <c r="F481" s="201"/>
      <c r="G481" s="201"/>
      <c r="H481" s="201"/>
      <c r="I481" s="202">
        <v>3</v>
      </c>
      <c r="J481" s="202">
        <v>3</v>
      </c>
      <c r="K481" s="88">
        <v>42156</v>
      </c>
      <c r="L481" s="250"/>
      <c r="M481" s="253"/>
      <c r="U481" s="218">
        <v>56</v>
      </c>
      <c r="V481" s="19" t="s">
        <v>244</v>
      </c>
      <c r="W481" s="19"/>
      <c r="X481" s="241"/>
    </row>
    <row r="482" spans="1:24" ht="45" x14ac:dyDescent="0.25">
      <c r="A482" s="227" t="s">
        <v>139</v>
      </c>
      <c r="B482" s="167" t="s">
        <v>312</v>
      </c>
      <c r="C482" s="167" t="s">
        <v>178</v>
      </c>
      <c r="D482" s="167" t="s">
        <v>248</v>
      </c>
      <c r="E482" s="50" t="s">
        <v>34</v>
      </c>
      <c r="F482" s="131"/>
      <c r="G482" s="92"/>
      <c r="H482" s="92"/>
      <c r="I482" s="6">
        <v>3</v>
      </c>
      <c r="J482" s="5">
        <v>3</v>
      </c>
      <c r="K482" s="88">
        <v>42156</v>
      </c>
      <c r="L482" s="250"/>
      <c r="M482" s="253"/>
      <c r="U482" s="218">
        <v>56</v>
      </c>
      <c r="V482" s="19" t="s">
        <v>244</v>
      </c>
      <c r="W482" s="19"/>
      <c r="X482" s="241"/>
    </row>
    <row r="483" spans="1:24" ht="45" x14ac:dyDescent="0.25">
      <c r="A483" s="227" t="s">
        <v>139</v>
      </c>
      <c r="B483" s="167" t="s">
        <v>312</v>
      </c>
      <c r="C483" s="167" t="s">
        <v>178</v>
      </c>
      <c r="D483" s="167" t="s">
        <v>260</v>
      </c>
      <c r="E483" s="168" t="s">
        <v>35</v>
      </c>
      <c r="F483" s="93"/>
      <c r="G483" s="93"/>
      <c r="H483" s="93"/>
      <c r="I483" s="6">
        <v>2</v>
      </c>
      <c r="J483" s="5">
        <v>3</v>
      </c>
      <c r="K483" s="88">
        <v>42156</v>
      </c>
      <c r="L483" s="250"/>
      <c r="M483" s="253"/>
      <c r="U483" s="218">
        <v>57</v>
      </c>
      <c r="V483" s="19" t="s">
        <v>244</v>
      </c>
      <c r="W483" s="19"/>
      <c r="X483" s="241"/>
    </row>
    <row r="484" spans="1:24" ht="45" x14ac:dyDescent="0.25">
      <c r="A484" s="227" t="s">
        <v>139</v>
      </c>
      <c r="B484" s="167" t="s">
        <v>312</v>
      </c>
      <c r="C484" s="167" t="s">
        <v>178</v>
      </c>
      <c r="D484" s="167" t="s">
        <v>249</v>
      </c>
      <c r="E484" s="169" t="s">
        <v>36</v>
      </c>
      <c r="F484" s="132"/>
      <c r="G484" s="91"/>
      <c r="H484" s="91"/>
      <c r="I484" s="6">
        <v>2</v>
      </c>
      <c r="J484" s="5">
        <v>3</v>
      </c>
      <c r="K484" s="88">
        <v>42156</v>
      </c>
      <c r="L484" s="250"/>
      <c r="M484" s="253"/>
      <c r="U484" s="218">
        <v>58</v>
      </c>
      <c r="V484" s="19" t="s">
        <v>244</v>
      </c>
      <c r="W484" s="19"/>
      <c r="X484" s="241"/>
    </row>
    <row r="485" spans="1:24" ht="45" x14ac:dyDescent="0.25">
      <c r="A485" s="227" t="s">
        <v>139</v>
      </c>
      <c r="B485" s="167" t="s">
        <v>312</v>
      </c>
      <c r="C485" s="167" t="s">
        <v>178</v>
      </c>
      <c r="D485" s="167" t="s">
        <v>261</v>
      </c>
      <c r="E485" s="50" t="s">
        <v>37</v>
      </c>
      <c r="F485" s="131"/>
      <c r="G485" s="92"/>
      <c r="H485" s="92"/>
      <c r="I485" s="5">
        <v>2</v>
      </c>
      <c r="J485" s="5">
        <v>3</v>
      </c>
      <c r="K485" s="88">
        <v>42156</v>
      </c>
      <c r="L485" s="250"/>
      <c r="M485" s="253"/>
      <c r="U485" s="218">
        <v>59</v>
      </c>
      <c r="V485" s="19" t="s">
        <v>244</v>
      </c>
      <c r="W485" s="19"/>
      <c r="X485" s="241"/>
    </row>
    <row r="486" spans="1:24" ht="45.75" thickBot="1" x14ac:dyDescent="0.3">
      <c r="A486" s="229" t="s">
        <v>139</v>
      </c>
      <c r="B486" s="170" t="s">
        <v>312</v>
      </c>
      <c r="C486" s="170" t="s">
        <v>178</v>
      </c>
      <c r="D486" s="170" t="s">
        <v>262</v>
      </c>
      <c r="E486" s="171" t="s">
        <v>38</v>
      </c>
      <c r="F486" s="133"/>
      <c r="G486" s="101"/>
      <c r="H486" s="101"/>
      <c r="I486" s="33">
        <v>2</v>
      </c>
      <c r="J486" s="33">
        <v>2</v>
      </c>
      <c r="K486" s="89">
        <v>42156</v>
      </c>
      <c r="L486" s="251"/>
      <c r="M486" s="254"/>
      <c r="U486" s="218">
        <v>60</v>
      </c>
      <c r="V486" s="19" t="s">
        <v>244</v>
      </c>
      <c r="W486" s="19"/>
      <c r="X486" s="241"/>
    </row>
    <row r="487" spans="1:24" ht="45.75" thickTop="1" x14ac:dyDescent="0.25">
      <c r="A487" s="231" t="s">
        <v>139</v>
      </c>
      <c r="B487" s="158" t="s">
        <v>312</v>
      </c>
      <c r="C487" s="158" t="s">
        <v>179</v>
      </c>
      <c r="D487" s="158" t="s">
        <v>250</v>
      </c>
      <c r="E487" s="159" t="s">
        <v>348</v>
      </c>
      <c r="F487" s="63"/>
      <c r="G487" s="63"/>
      <c r="H487" s="63"/>
      <c r="I487" s="30">
        <v>2</v>
      </c>
      <c r="J487" s="30">
        <v>2</v>
      </c>
      <c r="K487" s="233">
        <v>42156</v>
      </c>
      <c r="L487" s="249" t="str">
        <f>CONCATENATE("Level"," ",MIN(I487:I496))</f>
        <v>Level 1</v>
      </c>
      <c r="M487" s="252" t="str">
        <f>CONCATENATE("Level"," ",MIN(J487:J496))</f>
        <v>Level 1</v>
      </c>
      <c r="U487" s="218">
        <v>1</v>
      </c>
      <c r="V487" s="19" t="s">
        <v>244</v>
      </c>
      <c r="W487" s="19"/>
      <c r="X487" s="241"/>
    </row>
    <row r="488" spans="1:24" ht="45" x14ac:dyDescent="0.25">
      <c r="A488" s="230" t="s">
        <v>139</v>
      </c>
      <c r="B488" s="190" t="s">
        <v>312</v>
      </c>
      <c r="C488" s="190" t="s">
        <v>179</v>
      </c>
      <c r="D488" s="190" t="s">
        <v>266</v>
      </c>
      <c r="E488" s="191" t="s">
        <v>348</v>
      </c>
      <c r="F488" s="192"/>
      <c r="G488" s="192"/>
      <c r="H488" s="192"/>
      <c r="I488" s="193">
        <v>2</v>
      </c>
      <c r="J488" s="193">
        <v>2</v>
      </c>
      <c r="K488" s="85">
        <v>42156</v>
      </c>
      <c r="L488" s="250"/>
      <c r="M488" s="253"/>
      <c r="U488" s="218">
        <v>2</v>
      </c>
      <c r="V488" s="19" t="s">
        <v>244</v>
      </c>
      <c r="W488" s="19"/>
      <c r="X488" s="241"/>
    </row>
    <row r="489" spans="1:24" ht="75" x14ac:dyDescent="0.25">
      <c r="A489" s="230" t="s">
        <v>139</v>
      </c>
      <c r="B489" s="190" t="s">
        <v>312</v>
      </c>
      <c r="C489" s="190" t="s">
        <v>179</v>
      </c>
      <c r="D489" s="190" t="s">
        <v>252</v>
      </c>
      <c r="E489" s="191" t="s">
        <v>348</v>
      </c>
      <c r="F489" s="192"/>
      <c r="G489" s="192"/>
      <c r="H489" s="192"/>
      <c r="I489" s="193">
        <v>1</v>
      </c>
      <c r="J489" s="193">
        <v>1</v>
      </c>
      <c r="K489" s="85">
        <v>42156</v>
      </c>
      <c r="L489" s="250"/>
      <c r="M489" s="253"/>
      <c r="U489" s="218">
        <v>3</v>
      </c>
      <c r="V489" s="19" t="s">
        <v>244</v>
      </c>
      <c r="W489" s="19"/>
      <c r="X489" s="241"/>
    </row>
    <row r="490" spans="1:24" ht="45" x14ac:dyDescent="0.25">
      <c r="A490" s="230" t="s">
        <v>139</v>
      </c>
      <c r="B490" s="190" t="s">
        <v>312</v>
      </c>
      <c r="C490" s="190" t="s">
        <v>179</v>
      </c>
      <c r="D490" s="190" t="s">
        <v>263</v>
      </c>
      <c r="E490" s="191" t="s">
        <v>0</v>
      </c>
      <c r="F490" s="192"/>
      <c r="G490" s="192"/>
      <c r="H490" s="192"/>
      <c r="I490" s="193">
        <v>2</v>
      </c>
      <c r="J490" s="193">
        <v>2</v>
      </c>
      <c r="K490" s="85">
        <v>42156</v>
      </c>
      <c r="L490" s="250"/>
      <c r="M490" s="253"/>
      <c r="U490" s="218">
        <v>55</v>
      </c>
      <c r="V490" s="19" t="s">
        <v>244</v>
      </c>
      <c r="W490" s="19"/>
      <c r="X490" s="241"/>
    </row>
    <row r="491" spans="1:24" ht="45" x14ac:dyDescent="0.25">
      <c r="A491" s="224" t="s">
        <v>139</v>
      </c>
      <c r="B491" s="160" t="s">
        <v>312</v>
      </c>
      <c r="C491" s="160" t="s">
        <v>179</v>
      </c>
      <c r="D491" s="160" t="s">
        <v>247</v>
      </c>
      <c r="E491" s="47" t="s">
        <v>34</v>
      </c>
      <c r="F491" s="126"/>
      <c r="G491" s="97"/>
      <c r="H491" s="97"/>
      <c r="I491" s="25">
        <v>2</v>
      </c>
      <c r="J491" s="26">
        <v>3</v>
      </c>
      <c r="K491" s="85">
        <v>42156</v>
      </c>
      <c r="L491" s="250"/>
      <c r="M491" s="253"/>
      <c r="U491" s="218">
        <v>56</v>
      </c>
      <c r="V491" s="19" t="s">
        <v>244</v>
      </c>
      <c r="W491" s="19"/>
      <c r="X491" s="241"/>
    </row>
    <row r="492" spans="1:24" ht="45" x14ac:dyDescent="0.25">
      <c r="A492" s="224" t="s">
        <v>139</v>
      </c>
      <c r="B492" s="160" t="s">
        <v>312</v>
      </c>
      <c r="C492" s="160" t="s">
        <v>179</v>
      </c>
      <c r="D492" s="160" t="s">
        <v>248</v>
      </c>
      <c r="E492" s="47" t="s">
        <v>34</v>
      </c>
      <c r="F492" s="126"/>
      <c r="G492" s="97"/>
      <c r="H492" s="97"/>
      <c r="I492" s="25">
        <v>2</v>
      </c>
      <c r="J492" s="26">
        <v>2</v>
      </c>
      <c r="K492" s="85">
        <v>42156</v>
      </c>
      <c r="L492" s="250"/>
      <c r="M492" s="253"/>
      <c r="U492" s="218">
        <v>56</v>
      </c>
      <c r="V492" s="19" t="s">
        <v>244</v>
      </c>
      <c r="W492" s="19"/>
      <c r="X492" s="241"/>
    </row>
    <row r="493" spans="1:24" ht="45" x14ac:dyDescent="0.25">
      <c r="A493" s="224" t="s">
        <v>139</v>
      </c>
      <c r="B493" s="160" t="s">
        <v>312</v>
      </c>
      <c r="C493" s="160" t="s">
        <v>179</v>
      </c>
      <c r="D493" s="160" t="s">
        <v>260</v>
      </c>
      <c r="E493" s="161" t="s">
        <v>35</v>
      </c>
      <c r="F493" s="96"/>
      <c r="G493" s="96"/>
      <c r="H493" s="96"/>
      <c r="I493" s="25">
        <v>2</v>
      </c>
      <c r="J493" s="26">
        <v>3</v>
      </c>
      <c r="K493" s="85">
        <v>42156</v>
      </c>
      <c r="L493" s="250"/>
      <c r="M493" s="253"/>
      <c r="U493" s="218">
        <v>57</v>
      </c>
      <c r="V493" s="19" t="s">
        <v>244</v>
      </c>
      <c r="W493" s="19"/>
      <c r="X493" s="241"/>
    </row>
    <row r="494" spans="1:24" ht="45" x14ac:dyDescent="0.25">
      <c r="A494" s="224" t="s">
        <v>139</v>
      </c>
      <c r="B494" s="160" t="s">
        <v>312</v>
      </c>
      <c r="C494" s="160" t="s">
        <v>179</v>
      </c>
      <c r="D494" s="160" t="s">
        <v>249</v>
      </c>
      <c r="E494" s="162" t="s">
        <v>36</v>
      </c>
      <c r="F494" s="127"/>
      <c r="G494" s="98"/>
      <c r="H494" s="98"/>
      <c r="I494" s="25">
        <v>2</v>
      </c>
      <c r="J494" s="26">
        <v>3</v>
      </c>
      <c r="K494" s="85">
        <v>42156</v>
      </c>
      <c r="L494" s="250"/>
      <c r="M494" s="253"/>
      <c r="U494" s="218">
        <v>58</v>
      </c>
      <c r="V494" s="19" t="s">
        <v>244</v>
      </c>
      <c r="W494" s="19"/>
      <c r="X494" s="241"/>
    </row>
    <row r="495" spans="1:24" ht="45" x14ac:dyDescent="0.25">
      <c r="A495" s="224" t="s">
        <v>139</v>
      </c>
      <c r="B495" s="160" t="s">
        <v>312</v>
      </c>
      <c r="C495" s="160" t="s">
        <v>179</v>
      </c>
      <c r="D495" s="160" t="s">
        <v>261</v>
      </c>
      <c r="E495" s="47" t="s">
        <v>37</v>
      </c>
      <c r="F495" s="126"/>
      <c r="G495" s="97"/>
      <c r="H495" s="97"/>
      <c r="I495" s="26">
        <v>2</v>
      </c>
      <c r="J495" s="26">
        <v>3</v>
      </c>
      <c r="K495" s="85">
        <v>42156</v>
      </c>
      <c r="L495" s="250"/>
      <c r="M495" s="253"/>
      <c r="U495" s="218">
        <v>59</v>
      </c>
      <c r="V495" s="19" t="s">
        <v>244</v>
      </c>
      <c r="W495" s="19"/>
      <c r="X495" s="241"/>
    </row>
    <row r="496" spans="1:24" ht="45.75" thickBot="1" x14ac:dyDescent="0.3">
      <c r="A496" s="225" t="s">
        <v>139</v>
      </c>
      <c r="B496" s="163" t="s">
        <v>312</v>
      </c>
      <c r="C496" s="163" t="s">
        <v>179</v>
      </c>
      <c r="D496" s="163" t="s">
        <v>262</v>
      </c>
      <c r="E496" s="164" t="s">
        <v>38</v>
      </c>
      <c r="F496" s="128"/>
      <c r="G496" s="129"/>
      <c r="H496" s="129"/>
      <c r="I496" s="31">
        <v>2</v>
      </c>
      <c r="J496" s="31">
        <v>3</v>
      </c>
      <c r="K496" s="86">
        <v>42156</v>
      </c>
      <c r="L496" s="251"/>
      <c r="M496" s="254"/>
      <c r="U496" s="218">
        <v>60</v>
      </c>
      <c r="V496" s="19" t="s">
        <v>244</v>
      </c>
      <c r="W496" s="19"/>
      <c r="X496" s="241"/>
    </row>
    <row r="497" spans="1:24" ht="30.75" thickTop="1" x14ac:dyDescent="0.25">
      <c r="A497" s="226" t="s">
        <v>139</v>
      </c>
      <c r="B497" s="165" t="s">
        <v>316</v>
      </c>
      <c r="C497" s="165" t="s">
        <v>180</v>
      </c>
      <c r="D497" s="165" t="s">
        <v>250</v>
      </c>
      <c r="E497" s="166" t="s">
        <v>348</v>
      </c>
      <c r="F497" s="130"/>
      <c r="G497" s="130"/>
      <c r="H497" s="130"/>
      <c r="I497" s="32">
        <v>2</v>
      </c>
      <c r="J497" s="32">
        <v>2</v>
      </c>
      <c r="K497" s="203">
        <v>42156</v>
      </c>
      <c r="L497" s="249" t="str">
        <f t="shared" ref="L497:M497" si="36">CONCATENATE("Level"," ",MIN(I497:I506))</f>
        <v>Level 2</v>
      </c>
      <c r="M497" s="252" t="str">
        <f t="shared" si="36"/>
        <v>Level 2</v>
      </c>
      <c r="U497" s="218">
        <v>1</v>
      </c>
      <c r="V497" s="19" t="s">
        <v>244</v>
      </c>
      <c r="W497" s="19"/>
      <c r="X497" s="241"/>
    </row>
    <row r="498" spans="1:24" ht="45" x14ac:dyDescent="0.25">
      <c r="A498" s="228" t="s">
        <v>139</v>
      </c>
      <c r="B498" s="199" t="s">
        <v>316</v>
      </c>
      <c r="C498" s="199" t="s">
        <v>180</v>
      </c>
      <c r="D498" s="199" t="s">
        <v>266</v>
      </c>
      <c r="E498" s="200" t="s">
        <v>348</v>
      </c>
      <c r="F498" s="201"/>
      <c r="G498" s="201"/>
      <c r="H498" s="201"/>
      <c r="I498" s="202">
        <v>2</v>
      </c>
      <c r="J498" s="202">
        <v>3</v>
      </c>
      <c r="K498" s="88">
        <v>42156</v>
      </c>
      <c r="L498" s="250"/>
      <c r="M498" s="253"/>
      <c r="U498" s="218">
        <v>2</v>
      </c>
      <c r="V498" s="19" t="s">
        <v>244</v>
      </c>
      <c r="W498" s="19"/>
      <c r="X498" s="241"/>
    </row>
    <row r="499" spans="1:24" ht="75" x14ac:dyDescent="0.25">
      <c r="A499" s="228" t="s">
        <v>139</v>
      </c>
      <c r="B499" s="199" t="s">
        <v>316</v>
      </c>
      <c r="C499" s="199" t="s">
        <v>180</v>
      </c>
      <c r="D499" s="199" t="s">
        <v>252</v>
      </c>
      <c r="E499" s="200" t="s">
        <v>348</v>
      </c>
      <c r="F499" s="201"/>
      <c r="G499" s="201"/>
      <c r="H499" s="201"/>
      <c r="I499" s="202">
        <v>3</v>
      </c>
      <c r="J499" s="202">
        <v>3</v>
      </c>
      <c r="K499" s="88">
        <v>42156</v>
      </c>
      <c r="L499" s="250"/>
      <c r="M499" s="253"/>
      <c r="U499" s="218">
        <v>3</v>
      </c>
      <c r="V499" s="19" t="s">
        <v>244</v>
      </c>
      <c r="W499" s="19"/>
      <c r="X499" s="241"/>
    </row>
    <row r="500" spans="1:24" ht="30" x14ac:dyDescent="0.25">
      <c r="A500" s="228" t="s">
        <v>139</v>
      </c>
      <c r="B500" s="199" t="s">
        <v>316</v>
      </c>
      <c r="C500" s="199" t="s">
        <v>180</v>
      </c>
      <c r="D500" s="199" t="s">
        <v>263</v>
      </c>
      <c r="E500" s="200" t="s">
        <v>0</v>
      </c>
      <c r="F500" s="201"/>
      <c r="G500" s="201"/>
      <c r="H500" s="201"/>
      <c r="I500" s="202">
        <v>2</v>
      </c>
      <c r="J500" s="202">
        <v>3</v>
      </c>
      <c r="K500" s="88">
        <v>42156</v>
      </c>
      <c r="L500" s="250"/>
      <c r="M500" s="253"/>
      <c r="U500" s="218">
        <v>55</v>
      </c>
      <c r="V500" s="19" t="s">
        <v>244</v>
      </c>
      <c r="W500" s="19"/>
      <c r="X500" s="241"/>
    </row>
    <row r="501" spans="1:24" ht="45" x14ac:dyDescent="0.25">
      <c r="A501" s="228" t="s">
        <v>139</v>
      </c>
      <c r="B501" s="199" t="s">
        <v>316</v>
      </c>
      <c r="C501" s="199" t="s">
        <v>180</v>
      </c>
      <c r="D501" s="199" t="s">
        <v>247</v>
      </c>
      <c r="E501" s="50" t="s">
        <v>34</v>
      </c>
      <c r="F501" s="201"/>
      <c r="G501" s="201"/>
      <c r="H501" s="201"/>
      <c r="I501" s="202">
        <v>2</v>
      </c>
      <c r="J501" s="202">
        <v>2</v>
      </c>
      <c r="K501" s="88">
        <v>42156</v>
      </c>
      <c r="L501" s="250"/>
      <c r="M501" s="253"/>
      <c r="U501" s="218">
        <v>56</v>
      </c>
      <c r="V501" s="19" t="s">
        <v>244</v>
      </c>
      <c r="W501" s="19"/>
      <c r="X501" s="241"/>
    </row>
    <row r="502" spans="1:24" ht="45" x14ac:dyDescent="0.25">
      <c r="A502" s="227" t="s">
        <v>139</v>
      </c>
      <c r="B502" s="167" t="s">
        <v>316</v>
      </c>
      <c r="C502" s="167" t="s">
        <v>180</v>
      </c>
      <c r="D502" s="167" t="s">
        <v>248</v>
      </c>
      <c r="E502" s="50" t="s">
        <v>34</v>
      </c>
      <c r="F502" s="131"/>
      <c r="G502" s="92"/>
      <c r="H502" s="92"/>
      <c r="I502" s="6">
        <v>2</v>
      </c>
      <c r="J502" s="5">
        <v>3</v>
      </c>
      <c r="K502" s="88">
        <v>42156</v>
      </c>
      <c r="L502" s="250"/>
      <c r="M502" s="253"/>
      <c r="U502" s="218">
        <v>56</v>
      </c>
      <c r="V502" s="19" t="s">
        <v>244</v>
      </c>
      <c r="W502" s="19"/>
      <c r="X502" s="241"/>
    </row>
    <row r="503" spans="1:24" ht="45" x14ac:dyDescent="0.25">
      <c r="A503" s="227" t="s">
        <v>139</v>
      </c>
      <c r="B503" s="167" t="s">
        <v>316</v>
      </c>
      <c r="C503" s="167" t="s">
        <v>180</v>
      </c>
      <c r="D503" s="167" t="s">
        <v>260</v>
      </c>
      <c r="E503" s="168" t="s">
        <v>35</v>
      </c>
      <c r="F503" s="93"/>
      <c r="G503" s="93"/>
      <c r="H503" s="93"/>
      <c r="I503" s="6">
        <v>2</v>
      </c>
      <c r="J503" s="5">
        <v>3</v>
      </c>
      <c r="K503" s="88">
        <v>42156</v>
      </c>
      <c r="L503" s="250"/>
      <c r="M503" s="253"/>
      <c r="U503" s="218">
        <v>57</v>
      </c>
      <c r="V503" s="19" t="s">
        <v>244</v>
      </c>
      <c r="W503" s="19"/>
      <c r="X503" s="241"/>
    </row>
    <row r="504" spans="1:24" ht="30" x14ac:dyDescent="0.25">
      <c r="A504" s="227" t="s">
        <v>139</v>
      </c>
      <c r="B504" s="167" t="s">
        <v>316</v>
      </c>
      <c r="C504" s="167" t="s">
        <v>180</v>
      </c>
      <c r="D504" s="167" t="s">
        <v>249</v>
      </c>
      <c r="E504" s="169" t="s">
        <v>36</v>
      </c>
      <c r="F504" s="132"/>
      <c r="G504" s="91"/>
      <c r="H504" s="91"/>
      <c r="I504" s="6">
        <v>2</v>
      </c>
      <c r="J504" s="5">
        <v>3</v>
      </c>
      <c r="K504" s="88">
        <v>42156</v>
      </c>
      <c r="L504" s="250"/>
      <c r="M504" s="253"/>
      <c r="U504" s="218">
        <v>58</v>
      </c>
      <c r="V504" s="19" t="s">
        <v>244</v>
      </c>
      <c r="W504" s="19"/>
      <c r="X504" s="241"/>
    </row>
    <row r="505" spans="1:24" ht="30" x14ac:dyDescent="0.25">
      <c r="A505" s="227" t="s">
        <v>139</v>
      </c>
      <c r="B505" s="167" t="s">
        <v>316</v>
      </c>
      <c r="C505" s="167" t="s">
        <v>180</v>
      </c>
      <c r="D505" s="167" t="s">
        <v>261</v>
      </c>
      <c r="E505" s="50" t="s">
        <v>37</v>
      </c>
      <c r="F505" s="131"/>
      <c r="G505" s="92"/>
      <c r="H505" s="92"/>
      <c r="I505" s="5">
        <v>2</v>
      </c>
      <c r="J505" s="5">
        <v>3</v>
      </c>
      <c r="K505" s="88">
        <v>42156</v>
      </c>
      <c r="L505" s="250"/>
      <c r="M505" s="253"/>
      <c r="U505" s="218">
        <v>59</v>
      </c>
      <c r="V505" s="19" t="s">
        <v>244</v>
      </c>
      <c r="W505" s="19"/>
      <c r="X505" s="241"/>
    </row>
    <row r="506" spans="1:24" ht="45.75" thickBot="1" x14ac:dyDescent="0.3">
      <c r="A506" s="229" t="s">
        <v>139</v>
      </c>
      <c r="B506" s="170" t="s">
        <v>316</v>
      </c>
      <c r="C506" s="170" t="s">
        <v>180</v>
      </c>
      <c r="D506" s="170" t="s">
        <v>262</v>
      </c>
      <c r="E506" s="171" t="s">
        <v>38</v>
      </c>
      <c r="F506" s="133"/>
      <c r="G506" s="101"/>
      <c r="H506" s="101"/>
      <c r="I506" s="33">
        <v>2</v>
      </c>
      <c r="J506" s="33">
        <v>3</v>
      </c>
      <c r="K506" s="89">
        <v>42156</v>
      </c>
      <c r="L506" s="251"/>
      <c r="M506" s="254"/>
      <c r="U506" s="218">
        <v>60</v>
      </c>
      <c r="V506" s="19" t="s">
        <v>244</v>
      </c>
      <c r="W506" s="19"/>
      <c r="X506" s="241"/>
    </row>
    <row r="507" spans="1:24" ht="30.75" thickTop="1" x14ac:dyDescent="0.25">
      <c r="A507" s="231" t="s">
        <v>139</v>
      </c>
      <c r="B507" s="158" t="s">
        <v>316</v>
      </c>
      <c r="C507" s="158" t="s">
        <v>181</v>
      </c>
      <c r="D507" s="158" t="s">
        <v>250</v>
      </c>
      <c r="E507" s="159" t="s">
        <v>348</v>
      </c>
      <c r="F507" s="63"/>
      <c r="G507" s="63"/>
      <c r="H507" s="63"/>
      <c r="I507" s="30">
        <v>2</v>
      </c>
      <c r="J507" s="30">
        <v>3</v>
      </c>
      <c r="K507" s="233">
        <v>42156</v>
      </c>
      <c r="L507" s="249" t="str">
        <f t="shared" ref="L507:M507" si="37">CONCATENATE("Level"," ",MIN(I507:I516))</f>
        <v>Level 2</v>
      </c>
      <c r="M507" s="252" t="str">
        <f t="shared" si="37"/>
        <v>Level 2</v>
      </c>
      <c r="U507" s="218">
        <v>1</v>
      </c>
      <c r="V507" s="19" t="s">
        <v>244</v>
      </c>
      <c r="W507" s="19"/>
      <c r="X507" s="241"/>
    </row>
    <row r="508" spans="1:24" ht="45" x14ac:dyDescent="0.25">
      <c r="A508" s="230" t="s">
        <v>139</v>
      </c>
      <c r="B508" s="190" t="s">
        <v>316</v>
      </c>
      <c r="C508" s="190" t="s">
        <v>181</v>
      </c>
      <c r="D508" s="190" t="s">
        <v>266</v>
      </c>
      <c r="E508" s="191" t="s">
        <v>348</v>
      </c>
      <c r="F508" s="192"/>
      <c r="G508" s="192"/>
      <c r="H508" s="192"/>
      <c r="I508" s="193">
        <v>2</v>
      </c>
      <c r="J508" s="193">
        <v>3</v>
      </c>
      <c r="K508" s="85">
        <v>42156</v>
      </c>
      <c r="L508" s="250"/>
      <c r="M508" s="253"/>
      <c r="U508" s="218">
        <v>2</v>
      </c>
      <c r="V508" s="19" t="s">
        <v>244</v>
      </c>
      <c r="W508" s="19"/>
      <c r="X508" s="241"/>
    </row>
    <row r="509" spans="1:24" ht="75" x14ac:dyDescent="0.25">
      <c r="A509" s="230" t="s">
        <v>139</v>
      </c>
      <c r="B509" s="190" t="s">
        <v>316</v>
      </c>
      <c r="C509" s="190" t="s">
        <v>181</v>
      </c>
      <c r="D509" s="190" t="s">
        <v>252</v>
      </c>
      <c r="E509" s="191" t="s">
        <v>348</v>
      </c>
      <c r="F509" s="192"/>
      <c r="G509" s="192"/>
      <c r="H509" s="192"/>
      <c r="I509" s="193">
        <v>3</v>
      </c>
      <c r="J509" s="193">
        <v>3</v>
      </c>
      <c r="K509" s="85">
        <v>42156</v>
      </c>
      <c r="L509" s="250"/>
      <c r="M509" s="253"/>
      <c r="U509" s="218">
        <v>3</v>
      </c>
      <c r="V509" s="19" t="s">
        <v>244</v>
      </c>
      <c r="W509" s="19"/>
      <c r="X509" s="241"/>
    </row>
    <row r="510" spans="1:24" ht="30" x14ac:dyDescent="0.25">
      <c r="A510" s="230" t="s">
        <v>139</v>
      </c>
      <c r="B510" s="190" t="s">
        <v>316</v>
      </c>
      <c r="C510" s="190" t="s">
        <v>181</v>
      </c>
      <c r="D510" s="190" t="s">
        <v>263</v>
      </c>
      <c r="E510" s="191" t="s">
        <v>0</v>
      </c>
      <c r="F510" s="192"/>
      <c r="G510" s="192"/>
      <c r="H510" s="192"/>
      <c r="I510" s="193">
        <v>2</v>
      </c>
      <c r="J510" s="193">
        <v>3</v>
      </c>
      <c r="K510" s="85">
        <v>42156</v>
      </c>
      <c r="L510" s="250"/>
      <c r="M510" s="253"/>
      <c r="U510" s="218">
        <v>55</v>
      </c>
      <c r="V510" s="19" t="s">
        <v>244</v>
      </c>
      <c r="W510" s="19"/>
      <c r="X510" s="241"/>
    </row>
    <row r="511" spans="1:24" ht="45" x14ac:dyDescent="0.25">
      <c r="A511" s="230" t="s">
        <v>139</v>
      </c>
      <c r="B511" s="190" t="s">
        <v>316</v>
      </c>
      <c r="C511" s="190" t="s">
        <v>181</v>
      </c>
      <c r="D511" s="190" t="s">
        <v>247</v>
      </c>
      <c r="E511" s="47" t="s">
        <v>34</v>
      </c>
      <c r="F511" s="192"/>
      <c r="G511" s="192"/>
      <c r="H511" s="192"/>
      <c r="I511" s="193">
        <v>2</v>
      </c>
      <c r="J511" s="193">
        <v>2</v>
      </c>
      <c r="K511" s="85">
        <v>42156</v>
      </c>
      <c r="L511" s="250"/>
      <c r="M511" s="253"/>
      <c r="U511" s="218">
        <v>56</v>
      </c>
      <c r="V511" s="19" t="s">
        <v>244</v>
      </c>
      <c r="W511" s="19"/>
      <c r="X511" s="241"/>
    </row>
    <row r="512" spans="1:24" ht="45" x14ac:dyDescent="0.25">
      <c r="A512" s="224" t="s">
        <v>139</v>
      </c>
      <c r="B512" s="160" t="s">
        <v>316</v>
      </c>
      <c r="C512" s="160" t="s">
        <v>181</v>
      </c>
      <c r="D512" s="160" t="s">
        <v>248</v>
      </c>
      <c r="E512" s="47" t="s">
        <v>34</v>
      </c>
      <c r="F512" s="126"/>
      <c r="G512" s="97"/>
      <c r="H512" s="97"/>
      <c r="I512" s="25">
        <v>2</v>
      </c>
      <c r="J512" s="26">
        <v>3</v>
      </c>
      <c r="K512" s="85">
        <v>42156</v>
      </c>
      <c r="L512" s="250"/>
      <c r="M512" s="253"/>
      <c r="U512" s="218">
        <v>56</v>
      </c>
      <c r="V512" s="19" t="s">
        <v>244</v>
      </c>
      <c r="W512" s="19"/>
      <c r="X512" s="241"/>
    </row>
    <row r="513" spans="1:24" ht="45" x14ac:dyDescent="0.25">
      <c r="A513" s="224" t="s">
        <v>139</v>
      </c>
      <c r="B513" s="160" t="s">
        <v>316</v>
      </c>
      <c r="C513" s="160" t="s">
        <v>181</v>
      </c>
      <c r="D513" s="160" t="s">
        <v>260</v>
      </c>
      <c r="E513" s="161" t="s">
        <v>35</v>
      </c>
      <c r="F513" s="96"/>
      <c r="G513" s="96"/>
      <c r="H513" s="96"/>
      <c r="I513" s="25">
        <v>2</v>
      </c>
      <c r="J513" s="26">
        <v>3</v>
      </c>
      <c r="K513" s="85">
        <v>42156</v>
      </c>
      <c r="L513" s="250"/>
      <c r="M513" s="253"/>
      <c r="U513" s="218">
        <v>57</v>
      </c>
      <c r="V513" s="19" t="s">
        <v>244</v>
      </c>
      <c r="W513" s="19"/>
      <c r="X513" s="241"/>
    </row>
    <row r="514" spans="1:24" ht="30" x14ac:dyDescent="0.25">
      <c r="A514" s="224" t="s">
        <v>139</v>
      </c>
      <c r="B514" s="160" t="s">
        <v>316</v>
      </c>
      <c r="C514" s="160" t="s">
        <v>181</v>
      </c>
      <c r="D514" s="160" t="s">
        <v>249</v>
      </c>
      <c r="E514" s="162" t="s">
        <v>36</v>
      </c>
      <c r="F514" s="127"/>
      <c r="G514" s="98"/>
      <c r="H514" s="98"/>
      <c r="I514" s="25">
        <v>2</v>
      </c>
      <c r="J514" s="26">
        <v>3</v>
      </c>
      <c r="K514" s="85">
        <v>42156</v>
      </c>
      <c r="L514" s="250"/>
      <c r="M514" s="253"/>
      <c r="U514" s="218">
        <v>58</v>
      </c>
      <c r="V514" s="19" t="s">
        <v>244</v>
      </c>
      <c r="W514" s="19"/>
      <c r="X514" s="241"/>
    </row>
    <row r="515" spans="1:24" ht="30" x14ac:dyDescent="0.25">
      <c r="A515" s="224" t="s">
        <v>139</v>
      </c>
      <c r="B515" s="160" t="s">
        <v>316</v>
      </c>
      <c r="C515" s="160" t="s">
        <v>181</v>
      </c>
      <c r="D515" s="160" t="s">
        <v>261</v>
      </c>
      <c r="E515" s="47" t="s">
        <v>37</v>
      </c>
      <c r="F515" s="126"/>
      <c r="G515" s="97"/>
      <c r="H515" s="97"/>
      <c r="I515" s="26">
        <v>2</v>
      </c>
      <c r="J515" s="26">
        <v>3</v>
      </c>
      <c r="K515" s="85">
        <v>42156</v>
      </c>
      <c r="L515" s="250"/>
      <c r="M515" s="253"/>
      <c r="U515" s="218">
        <v>59</v>
      </c>
      <c r="V515" s="19" t="s">
        <v>244</v>
      </c>
      <c r="W515" s="19"/>
      <c r="X515" s="241"/>
    </row>
    <row r="516" spans="1:24" ht="45.75" thickBot="1" x14ac:dyDescent="0.3">
      <c r="A516" s="225" t="s">
        <v>139</v>
      </c>
      <c r="B516" s="163" t="s">
        <v>316</v>
      </c>
      <c r="C516" s="163" t="s">
        <v>181</v>
      </c>
      <c r="D516" s="163" t="s">
        <v>262</v>
      </c>
      <c r="E516" s="164" t="s">
        <v>38</v>
      </c>
      <c r="F516" s="128"/>
      <c r="G516" s="129"/>
      <c r="H516" s="129"/>
      <c r="I516" s="31">
        <v>2</v>
      </c>
      <c r="J516" s="31">
        <v>3</v>
      </c>
      <c r="K516" s="86">
        <v>42156</v>
      </c>
      <c r="L516" s="251"/>
      <c r="M516" s="254"/>
      <c r="U516" s="218">
        <v>60</v>
      </c>
      <c r="V516" s="19" t="s">
        <v>244</v>
      </c>
      <c r="W516" s="19"/>
      <c r="X516" s="241"/>
    </row>
    <row r="517" spans="1:24" ht="30.75" thickTop="1" x14ac:dyDescent="0.25">
      <c r="A517" s="226" t="s">
        <v>139</v>
      </c>
      <c r="B517" s="165" t="s">
        <v>316</v>
      </c>
      <c r="C517" s="165" t="s">
        <v>133</v>
      </c>
      <c r="D517" s="165" t="s">
        <v>250</v>
      </c>
      <c r="E517" s="166" t="s">
        <v>348</v>
      </c>
      <c r="F517" s="130"/>
      <c r="G517" s="130"/>
      <c r="H517" s="130"/>
      <c r="I517" s="32">
        <v>2</v>
      </c>
      <c r="J517" s="32">
        <v>3</v>
      </c>
      <c r="K517" s="203">
        <v>42156</v>
      </c>
      <c r="L517" s="249" t="str">
        <f t="shared" ref="L517:M517" si="38">CONCATENATE("Level"," ",MIN(I517:I526))</f>
        <v>Level 1</v>
      </c>
      <c r="M517" s="252" t="str">
        <f t="shared" si="38"/>
        <v>Level 2</v>
      </c>
      <c r="U517" s="218">
        <v>1</v>
      </c>
      <c r="V517" s="19" t="s">
        <v>244</v>
      </c>
      <c r="W517" s="19" t="s">
        <v>209</v>
      </c>
      <c r="X517" s="240"/>
    </row>
    <row r="518" spans="1:24" ht="45" x14ac:dyDescent="0.25">
      <c r="A518" s="228" t="s">
        <v>139</v>
      </c>
      <c r="B518" s="199" t="s">
        <v>316</v>
      </c>
      <c r="C518" s="199" t="s">
        <v>133</v>
      </c>
      <c r="D518" s="199" t="s">
        <v>266</v>
      </c>
      <c r="E518" s="200" t="s">
        <v>348</v>
      </c>
      <c r="F518" s="201"/>
      <c r="G518" s="201"/>
      <c r="H518" s="201"/>
      <c r="I518" s="202">
        <v>2</v>
      </c>
      <c r="J518" s="202">
        <v>3</v>
      </c>
      <c r="K518" s="88">
        <v>42156</v>
      </c>
      <c r="L518" s="250"/>
      <c r="M518" s="253"/>
      <c r="U518" s="218">
        <v>2</v>
      </c>
      <c r="V518" s="19" t="s">
        <v>244</v>
      </c>
      <c r="W518" s="19" t="s">
        <v>209</v>
      </c>
      <c r="X518" s="240"/>
    </row>
    <row r="519" spans="1:24" ht="75" x14ac:dyDescent="0.25">
      <c r="A519" s="228" t="s">
        <v>139</v>
      </c>
      <c r="B519" s="199" t="s">
        <v>316</v>
      </c>
      <c r="C519" s="199" t="s">
        <v>133</v>
      </c>
      <c r="D519" s="199" t="s">
        <v>252</v>
      </c>
      <c r="E519" s="200" t="s">
        <v>348</v>
      </c>
      <c r="F519" s="201"/>
      <c r="G519" s="201"/>
      <c r="H519" s="201"/>
      <c r="I519" s="202">
        <v>3</v>
      </c>
      <c r="J519" s="202">
        <v>3</v>
      </c>
      <c r="K519" s="88">
        <v>42156</v>
      </c>
      <c r="L519" s="250"/>
      <c r="M519" s="253"/>
      <c r="U519" s="218">
        <v>3</v>
      </c>
      <c r="V519" s="19" t="s">
        <v>244</v>
      </c>
      <c r="W519" s="19" t="s">
        <v>209</v>
      </c>
      <c r="X519" s="240"/>
    </row>
    <row r="520" spans="1:24" ht="30" x14ac:dyDescent="0.25">
      <c r="A520" s="228" t="s">
        <v>139</v>
      </c>
      <c r="B520" s="199" t="s">
        <v>316</v>
      </c>
      <c r="C520" s="199" t="s">
        <v>133</v>
      </c>
      <c r="D520" s="199" t="s">
        <v>263</v>
      </c>
      <c r="E520" s="200" t="s">
        <v>0</v>
      </c>
      <c r="F520" s="201"/>
      <c r="G520" s="201"/>
      <c r="H520" s="201"/>
      <c r="I520" s="202">
        <v>1</v>
      </c>
      <c r="J520" s="202">
        <v>2</v>
      </c>
      <c r="K520" s="88">
        <v>42156</v>
      </c>
      <c r="L520" s="250"/>
      <c r="M520" s="253"/>
      <c r="U520" s="218">
        <v>55</v>
      </c>
      <c r="V520" s="19" t="s">
        <v>244</v>
      </c>
      <c r="W520" s="19" t="s">
        <v>209</v>
      </c>
      <c r="X520" s="240"/>
    </row>
    <row r="521" spans="1:24" ht="45" x14ac:dyDescent="0.25">
      <c r="A521" s="227" t="s">
        <v>139</v>
      </c>
      <c r="B521" s="167" t="s">
        <v>316</v>
      </c>
      <c r="C521" s="167" t="s">
        <v>133</v>
      </c>
      <c r="D521" s="167" t="s">
        <v>247</v>
      </c>
      <c r="E521" s="50" t="s">
        <v>34</v>
      </c>
      <c r="F521" s="131"/>
      <c r="G521" s="92"/>
      <c r="H521" s="92"/>
      <c r="I521" s="6">
        <v>2</v>
      </c>
      <c r="J521" s="5">
        <v>3</v>
      </c>
      <c r="K521" s="88">
        <v>42156</v>
      </c>
      <c r="L521" s="250"/>
      <c r="M521" s="253"/>
      <c r="U521" s="218">
        <v>56</v>
      </c>
      <c r="V521" s="19" t="s">
        <v>244</v>
      </c>
      <c r="W521" s="19" t="s">
        <v>209</v>
      </c>
      <c r="X521" s="240"/>
    </row>
    <row r="522" spans="1:24" ht="45" x14ac:dyDescent="0.25">
      <c r="A522" s="227" t="s">
        <v>139</v>
      </c>
      <c r="B522" s="167" t="s">
        <v>316</v>
      </c>
      <c r="C522" s="167" t="s">
        <v>133</v>
      </c>
      <c r="D522" s="167" t="s">
        <v>248</v>
      </c>
      <c r="E522" s="50" t="s">
        <v>34</v>
      </c>
      <c r="F522" s="131"/>
      <c r="G522" s="92"/>
      <c r="H522" s="92"/>
      <c r="I522" s="6">
        <v>3</v>
      </c>
      <c r="J522" s="5">
        <v>3</v>
      </c>
      <c r="K522" s="88">
        <v>42156</v>
      </c>
      <c r="L522" s="250"/>
      <c r="M522" s="253"/>
      <c r="U522" s="218">
        <v>56</v>
      </c>
      <c r="V522" s="19" t="s">
        <v>244</v>
      </c>
      <c r="W522" s="19" t="s">
        <v>209</v>
      </c>
      <c r="X522" s="240"/>
    </row>
    <row r="523" spans="1:24" ht="45" x14ac:dyDescent="0.25">
      <c r="A523" s="227" t="s">
        <v>139</v>
      </c>
      <c r="B523" s="167" t="s">
        <v>316</v>
      </c>
      <c r="C523" s="167" t="s">
        <v>133</v>
      </c>
      <c r="D523" s="167" t="s">
        <v>260</v>
      </c>
      <c r="E523" s="168" t="s">
        <v>35</v>
      </c>
      <c r="F523" s="93"/>
      <c r="G523" s="93"/>
      <c r="H523" s="93"/>
      <c r="I523" s="6">
        <v>2</v>
      </c>
      <c r="J523" s="5">
        <v>3</v>
      </c>
      <c r="K523" s="88">
        <v>42156</v>
      </c>
      <c r="L523" s="250"/>
      <c r="M523" s="253"/>
      <c r="U523" s="218">
        <v>57</v>
      </c>
      <c r="V523" s="19" t="s">
        <v>244</v>
      </c>
      <c r="W523" s="19" t="s">
        <v>209</v>
      </c>
      <c r="X523" s="240"/>
    </row>
    <row r="524" spans="1:24" ht="30" x14ac:dyDescent="0.25">
      <c r="A524" s="227" t="s">
        <v>139</v>
      </c>
      <c r="B524" s="167" t="s">
        <v>316</v>
      </c>
      <c r="C524" s="167" t="s">
        <v>133</v>
      </c>
      <c r="D524" s="167" t="s">
        <v>249</v>
      </c>
      <c r="E524" s="169" t="s">
        <v>36</v>
      </c>
      <c r="F524" s="132"/>
      <c r="G524" s="91"/>
      <c r="H524" s="91"/>
      <c r="I524" s="6">
        <v>2</v>
      </c>
      <c r="J524" s="5">
        <v>3</v>
      </c>
      <c r="K524" s="88">
        <v>42156</v>
      </c>
      <c r="L524" s="250"/>
      <c r="M524" s="253"/>
      <c r="U524" s="218">
        <v>58</v>
      </c>
      <c r="V524" s="19" t="s">
        <v>244</v>
      </c>
      <c r="W524" s="19" t="s">
        <v>209</v>
      </c>
      <c r="X524" s="240"/>
    </row>
    <row r="525" spans="1:24" ht="30" x14ac:dyDescent="0.25">
      <c r="A525" s="227" t="s">
        <v>139</v>
      </c>
      <c r="B525" s="167" t="s">
        <v>316</v>
      </c>
      <c r="C525" s="167" t="s">
        <v>133</v>
      </c>
      <c r="D525" s="167" t="s">
        <v>261</v>
      </c>
      <c r="E525" s="50" t="s">
        <v>37</v>
      </c>
      <c r="F525" s="131"/>
      <c r="G525" s="92"/>
      <c r="H525" s="92"/>
      <c r="I525" s="5">
        <v>3</v>
      </c>
      <c r="J525" s="5">
        <v>4</v>
      </c>
      <c r="K525" s="88">
        <v>42156</v>
      </c>
      <c r="L525" s="250"/>
      <c r="M525" s="253"/>
      <c r="U525" s="218">
        <v>59</v>
      </c>
      <c r="V525" s="19" t="s">
        <v>244</v>
      </c>
      <c r="W525" s="19" t="s">
        <v>209</v>
      </c>
      <c r="X525" s="240"/>
    </row>
    <row r="526" spans="1:24" ht="45.75" thickBot="1" x14ac:dyDescent="0.3">
      <c r="A526" s="229" t="s">
        <v>139</v>
      </c>
      <c r="B526" s="170" t="s">
        <v>316</v>
      </c>
      <c r="C526" s="170" t="s">
        <v>133</v>
      </c>
      <c r="D526" s="170" t="s">
        <v>262</v>
      </c>
      <c r="E526" s="171" t="s">
        <v>38</v>
      </c>
      <c r="F526" s="133"/>
      <c r="G526" s="101"/>
      <c r="H526" s="101"/>
      <c r="I526" s="33">
        <v>2</v>
      </c>
      <c r="J526" s="33">
        <v>2</v>
      </c>
      <c r="K526" s="89">
        <v>42156</v>
      </c>
      <c r="L526" s="251"/>
      <c r="M526" s="254"/>
      <c r="U526" s="218">
        <v>60</v>
      </c>
      <c r="V526" s="19" t="s">
        <v>244</v>
      </c>
      <c r="W526" s="19" t="s">
        <v>209</v>
      </c>
      <c r="X526" s="240"/>
    </row>
    <row r="527" spans="1:24" ht="30.75" thickTop="1" x14ac:dyDescent="0.25">
      <c r="A527" s="231" t="s">
        <v>139</v>
      </c>
      <c r="B527" s="158" t="s">
        <v>316</v>
      </c>
      <c r="C527" s="158" t="s">
        <v>182</v>
      </c>
      <c r="D527" s="158" t="s">
        <v>250</v>
      </c>
      <c r="E527" s="159" t="s">
        <v>348</v>
      </c>
      <c r="F527" s="63"/>
      <c r="G527" s="63"/>
      <c r="H527" s="63"/>
      <c r="I527" s="30">
        <v>2</v>
      </c>
      <c r="J527" s="30">
        <v>3</v>
      </c>
      <c r="K527" s="233">
        <v>42156</v>
      </c>
      <c r="L527" s="249" t="str">
        <f t="shared" ref="L527:M527" si="39">CONCATENATE("Level"," ",MIN(I527:I536))</f>
        <v>Level 1</v>
      </c>
      <c r="M527" s="252" t="str">
        <f t="shared" si="39"/>
        <v>Level 2</v>
      </c>
      <c r="U527" s="218">
        <v>1</v>
      </c>
      <c r="V527" s="19" t="s">
        <v>244</v>
      </c>
      <c r="W527" s="19" t="s">
        <v>209</v>
      </c>
      <c r="X527" s="241"/>
    </row>
    <row r="528" spans="1:24" ht="45" x14ac:dyDescent="0.25">
      <c r="A528" s="230" t="s">
        <v>139</v>
      </c>
      <c r="B528" s="190" t="s">
        <v>316</v>
      </c>
      <c r="C528" s="190" t="s">
        <v>182</v>
      </c>
      <c r="D528" s="190" t="s">
        <v>266</v>
      </c>
      <c r="E528" s="191" t="s">
        <v>348</v>
      </c>
      <c r="F528" s="192"/>
      <c r="G528" s="192"/>
      <c r="H528" s="192"/>
      <c r="I528" s="193">
        <v>2</v>
      </c>
      <c r="J528" s="193">
        <v>2</v>
      </c>
      <c r="K528" s="85">
        <v>42156</v>
      </c>
      <c r="L528" s="250"/>
      <c r="M528" s="253"/>
      <c r="U528" s="218">
        <v>2</v>
      </c>
      <c r="V528" s="19" t="s">
        <v>244</v>
      </c>
      <c r="W528" s="19" t="s">
        <v>209</v>
      </c>
      <c r="X528" s="241"/>
    </row>
    <row r="529" spans="1:24" ht="75" x14ac:dyDescent="0.25">
      <c r="A529" s="230" t="s">
        <v>139</v>
      </c>
      <c r="B529" s="190" t="s">
        <v>316</v>
      </c>
      <c r="C529" s="190" t="s">
        <v>182</v>
      </c>
      <c r="D529" s="190" t="s">
        <v>252</v>
      </c>
      <c r="E529" s="191" t="s">
        <v>348</v>
      </c>
      <c r="F529" s="192"/>
      <c r="G529" s="192"/>
      <c r="H529" s="192"/>
      <c r="I529" s="193">
        <v>1</v>
      </c>
      <c r="J529" s="193">
        <v>2</v>
      </c>
      <c r="K529" s="85">
        <v>42156</v>
      </c>
      <c r="L529" s="250"/>
      <c r="M529" s="253"/>
      <c r="U529" s="218">
        <v>3</v>
      </c>
      <c r="V529" s="19" t="s">
        <v>244</v>
      </c>
      <c r="W529" s="19" t="s">
        <v>209</v>
      </c>
      <c r="X529" s="241"/>
    </row>
    <row r="530" spans="1:24" ht="30" x14ac:dyDescent="0.25">
      <c r="A530" s="230" t="s">
        <v>139</v>
      </c>
      <c r="B530" s="190" t="s">
        <v>316</v>
      </c>
      <c r="C530" s="190" t="s">
        <v>182</v>
      </c>
      <c r="D530" s="190" t="s">
        <v>263</v>
      </c>
      <c r="E530" s="191" t="s">
        <v>0</v>
      </c>
      <c r="F530" s="192"/>
      <c r="G530" s="192"/>
      <c r="H530" s="192"/>
      <c r="I530" s="193">
        <v>1</v>
      </c>
      <c r="J530" s="193">
        <v>3</v>
      </c>
      <c r="K530" s="85">
        <v>42156</v>
      </c>
      <c r="L530" s="250"/>
      <c r="M530" s="253"/>
      <c r="U530" s="218">
        <v>55</v>
      </c>
      <c r="V530" s="19" t="s">
        <v>244</v>
      </c>
      <c r="W530" s="19" t="s">
        <v>209</v>
      </c>
      <c r="X530" s="241"/>
    </row>
    <row r="531" spans="1:24" ht="45" x14ac:dyDescent="0.25">
      <c r="A531" s="224" t="s">
        <v>139</v>
      </c>
      <c r="B531" s="160" t="s">
        <v>316</v>
      </c>
      <c r="C531" s="160" t="s">
        <v>182</v>
      </c>
      <c r="D531" s="160" t="s">
        <v>247</v>
      </c>
      <c r="E531" s="47" t="s">
        <v>34</v>
      </c>
      <c r="F531" s="126"/>
      <c r="G531" s="97"/>
      <c r="H531" s="97"/>
      <c r="I531" s="25">
        <v>2</v>
      </c>
      <c r="J531" s="26">
        <v>2</v>
      </c>
      <c r="K531" s="85">
        <v>42156</v>
      </c>
      <c r="L531" s="250"/>
      <c r="M531" s="253"/>
      <c r="U531" s="218">
        <v>56</v>
      </c>
      <c r="V531" s="19" t="s">
        <v>244</v>
      </c>
      <c r="W531" s="19" t="s">
        <v>209</v>
      </c>
      <c r="X531" s="241"/>
    </row>
    <row r="532" spans="1:24" ht="45" x14ac:dyDescent="0.25">
      <c r="A532" s="224" t="s">
        <v>139</v>
      </c>
      <c r="B532" s="160" t="s">
        <v>316</v>
      </c>
      <c r="C532" s="160" t="s">
        <v>182</v>
      </c>
      <c r="D532" s="160" t="s">
        <v>248</v>
      </c>
      <c r="E532" s="47" t="s">
        <v>34</v>
      </c>
      <c r="F532" s="126"/>
      <c r="G532" s="97"/>
      <c r="H532" s="97"/>
      <c r="I532" s="25">
        <v>2</v>
      </c>
      <c r="J532" s="26">
        <v>3</v>
      </c>
      <c r="K532" s="85">
        <v>42156</v>
      </c>
      <c r="L532" s="250"/>
      <c r="M532" s="253"/>
      <c r="U532" s="218">
        <v>56</v>
      </c>
      <c r="V532" s="19" t="s">
        <v>244</v>
      </c>
      <c r="W532" s="19" t="s">
        <v>209</v>
      </c>
      <c r="X532" s="241"/>
    </row>
    <row r="533" spans="1:24" ht="45" x14ac:dyDescent="0.25">
      <c r="A533" s="224" t="s">
        <v>139</v>
      </c>
      <c r="B533" s="160" t="s">
        <v>316</v>
      </c>
      <c r="C533" s="160" t="s">
        <v>182</v>
      </c>
      <c r="D533" s="160" t="s">
        <v>260</v>
      </c>
      <c r="E533" s="161" t="s">
        <v>35</v>
      </c>
      <c r="F533" s="96"/>
      <c r="G533" s="96"/>
      <c r="H533" s="96"/>
      <c r="I533" s="25">
        <v>2</v>
      </c>
      <c r="J533" s="26">
        <v>3</v>
      </c>
      <c r="K533" s="85">
        <v>42156</v>
      </c>
      <c r="L533" s="250"/>
      <c r="M533" s="253"/>
      <c r="U533" s="218">
        <v>57</v>
      </c>
      <c r="V533" s="19" t="s">
        <v>244</v>
      </c>
      <c r="W533" s="19" t="s">
        <v>209</v>
      </c>
      <c r="X533" s="241"/>
    </row>
    <row r="534" spans="1:24" ht="30" x14ac:dyDescent="0.25">
      <c r="A534" s="224" t="s">
        <v>139</v>
      </c>
      <c r="B534" s="160" t="s">
        <v>316</v>
      </c>
      <c r="C534" s="160" t="s">
        <v>182</v>
      </c>
      <c r="D534" s="160" t="s">
        <v>249</v>
      </c>
      <c r="E534" s="162" t="s">
        <v>36</v>
      </c>
      <c r="F534" s="127"/>
      <c r="G534" s="98"/>
      <c r="H534" s="98"/>
      <c r="I534" s="25">
        <v>2</v>
      </c>
      <c r="J534" s="26">
        <v>2</v>
      </c>
      <c r="K534" s="85">
        <v>42156</v>
      </c>
      <c r="L534" s="250"/>
      <c r="M534" s="253"/>
      <c r="U534" s="218">
        <v>58</v>
      </c>
      <c r="V534" s="19" t="s">
        <v>244</v>
      </c>
      <c r="W534" s="19" t="s">
        <v>209</v>
      </c>
      <c r="X534" s="241"/>
    </row>
    <row r="535" spans="1:24" ht="30" x14ac:dyDescent="0.25">
      <c r="A535" s="224" t="s">
        <v>139</v>
      </c>
      <c r="B535" s="160" t="s">
        <v>316</v>
      </c>
      <c r="C535" s="160" t="s">
        <v>182</v>
      </c>
      <c r="D535" s="160" t="s">
        <v>261</v>
      </c>
      <c r="E535" s="47" t="s">
        <v>37</v>
      </c>
      <c r="F535" s="126"/>
      <c r="G535" s="97"/>
      <c r="H535" s="97"/>
      <c r="I535" s="26">
        <v>3</v>
      </c>
      <c r="J535" s="26">
        <v>3</v>
      </c>
      <c r="K535" s="85">
        <v>42156</v>
      </c>
      <c r="L535" s="250"/>
      <c r="M535" s="253"/>
      <c r="U535" s="218">
        <v>59</v>
      </c>
      <c r="V535" s="19" t="s">
        <v>244</v>
      </c>
      <c r="W535" s="19" t="s">
        <v>209</v>
      </c>
      <c r="X535" s="241"/>
    </row>
    <row r="536" spans="1:24" ht="45.75" thickBot="1" x14ac:dyDescent="0.3">
      <c r="A536" s="225" t="s">
        <v>139</v>
      </c>
      <c r="B536" s="163" t="s">
        <v>316</v>
      </c>
      <c r="C536" s="163" t="s">
        <v>182</v>
      </c>
      <c r="D536" s="163" t="s">
        <v>262</v>
      </c>
      <c r="E536" s="164" t="s">
        <v>38</v>
      </c>
      <c r="F536" s="128"/>
      <c r="G536" s="129"/>
      <c r="H536" s="129"/>
      <c r="I536" s="31">
        <v>2</v>
      </c>
      <c r="J536" s="31">
        <v>3</v>
      </c>
      <c r="K536" s="86">
        <v>42156</v>
      </c>
      <c r="L536" s="251"/>
      <c r="M536" s="254"/>
      <c r="U536" s="218">
        <v>60</v>
      </c>
      <c r="V536" s="19" t="s">
        <v>244</v>
      </c>
      <c r="W536" s="19" t="s">
        <v>209</v>
      </c>
      <c r="X536" s="241"/>
    </row>
    <row r="537" spans="1:24" ht="45.75" thickTop="1" x14ac:dyDescent="0.25">
      <c r="A537" s="226" t="s">
        <v>140</v>
      </c>
      <c r="B537" s="165" t="s">
        <v>317</v>
      </c>
      <c r="C537" s="165" t="s">
        <v>183</v>
      </c>
      <c r="D537" s="165"/>
      <c r="E537" s="166"/>
      <c r="F537" s="137"/>
      <c r="G537" s="137"/>
      <c r="H537" s="137"/>
      <c r="I537" s="36" t="s">
        <v>210</v>
      </c>
      <c r="J537" s="36" t="s">
        <v>210</v>
      </c>
      <c r="K537" s="203">
        <v>42156</v>
      </c>
      <c r="L537" s="249" t="str">
        <f t="shared" ref="L537" si="40">CONCATENATE("Level"," ",MIN(I537:I542))</f>
        <v>Level 0</v>
      </c>
      <c r="M537" s="252" t="str">
        <f t="shared" ref="M537" si="41">CONCATENATE("Level"," ",MIN(J537:J542))</f>
        <v>Level 0</v>
      </c>
      <c r="V537" s="19" t="s">
        <v>244</v>
      </c>
      <c r="W537" s="19" t="s">
        <v>209</v>
      </c>
      <c r="X537" s="240"/>
    </row>
    <row r="538" spans="1:24" ht="45" x14ac:dyDescent="0.25">
      <c r="A538" s="227" t="s">
        <v>140</v>
      </c>
      <c r="B538" s="167" t="s">
        <v>317</v>
      </c>
      <c r="C538" s="167" t="s">
        <v>183</v>
      </c>
      <c r="D538" s="167"/>
      <c r="E538" s="50"/>
      <c r="F538" s="138"/>
      <c r="G538" s="138"/>
      <c r="H538" s="138"/>
      <c r="I538" s="7" t="s">
        <v>210</v>
      </c>
      <c r="J538" s="7" t="s">
        <v>210</v>
      </c>
      <c r="K538" s="88">
        <v>42156</v>
      </c>
      <c r="L538" s="250"/>
      <c r="M538" s="253"/>
      <c r="V538" s="19" t="s">
        <v>244</v>
      </c>
      <c r="W538" s="19" t="s">
        <v>209</v>
      </c>
      <c r="X538" s="240"/>
    </row>
    <row r="539" spans="1:24" ht="45" x14ac:dyDescent="0.25">
      <c r="A539" s="227" t="s">
        <v>140</v>
      </c>
      <c r="B539" s="167" t="s">
        <v>317</v>
      </c>
      <c r="C539" s="167" t="s">
        <v>183</v>
      </c>
      <c r="D539" s="167"/>
      <c r="E539" s="168"/>
      <c r="F539" s="138"/>
      <c r="G539" s="138"/>
      <c r="H539" s="138"/>
      <c r="I539" s="7" t="s">
        <v>210</v>
      </c>
      <c r="J539" s="7" t="s">
        <v>210</v>
      </c>
      <c r="K539" s="88">
        <v>42156</v>
      </c>
      <c r="L539" s="250"/>
      <c r="M539" s="253"/>
      <c r="V539" s="19" t="s">
        <v>244</v>
      </c>
      <c r="W539" s="19" t="s">
        <v>209</v>
      </c>
      <c r="X539" s="240"/>
    </row>
    <row r="540" spans="1:24" ht="45" x14ac:dyDescent="0.25">
      <c r="A540" s="227" t="s">
        <v>140</v>
      </c>
      <c r="B540" s="167" t="s">
        <v>317</v>
      </c>
      <c r="C540" s="167" t="s">
        <v>183</v>
      </c>
      <c r="D540" s="167"/>
      <c r="E540" s="169"/>
      <c r="F540" s="138"/>
      <c r="G540" s="138"/>
      <c r="H540" s="138"/>
      <c r="I540" s="7" t="s">
        <v>210</v>
      </c>
      <c r="J540" s="7" t="s">
        <v>210</v>
      </c>
      <c r="K540" s="88">
        <v>42156</v>
      </c>
      <c r="L540" s="250"/>
      <c r="M540" s="253"/>
      <c r="V540" s="19" t="s">
        <v>244</v>
      </c>
      <c r="W540" s="19" t="s">
        <v>209</v>
      </c>
      <c r="X540" s="240"/>
    </row>
    <row r="541" spans="1:24" ht="45" x14ac:dyDescent="0.25">
      <c r="A541" s="227" t="s">
        <v>140</v>
      </c>
      <c r="B541" s="167" t="s">
        <v>317</v>
      </c>
      <c r="C541" s="167" t="s">
        <v>183</v>
      </c>
      <c r="D541" s="167"/>
      <c r="E541" s="50"/>
      <c r="F541" s="138"/>
      <c r="G541" s="138"/>
      <c r="H541" s="138"/>
      <c r="I541" s="7" t="s">
        <v>210</v>
      </c>
      <c r="J541" s="7" t="s">
        <v>210</v>
      </c>
      <c r="K541" s="88">
        <v>42156</v>
      </c>
      <c r="L541" s="250"/>
      <c r="M541" s="253"/>
      <c r="V541" s="19" t="s">
        <v>244</v>
      </c>
      <c r="W541" s="19" t="s">
        <v>209</v>
      </c>
      <c r="X541" s="240"/>
    </row>
    <row r="542" spans="1:24" ht="45.75" thickBot="1" x14ac:dyDescent="0.3">
      <c r="A542" s="229" t="s">
        <v>140</v>
      </c>
      <c r="B542" s="170" t="s">
        <v>317</v>
      </c>
      <c r="C542" s="170" t="s">
        <v>183</v>
      </c>
      <c r="D542" s="170"/>
      <c r="E542" s="171"/>
      <c r="F542" s="139"/>
      <c r="G542" s="139"/>
      <c r="H542" s="139"/>
      <c r="I542" s="37" t="s">
        <v>210</v>
      </c>
      <c r="J542" s="37" t="s">
        <v>210</v>
      </c>
      <c r="K542" s="89">
        <v>42156</v>
      </c>
      <c r="L542" s="251"/>
      <c r="M542" s="254"/>
      <c r="V542" s="19" t="s">
        <v>244</v>
      </c>
      <c r="W542" s="19" t="s">
        <v>209</v>
      </c>
      <c r="X542" s="240"/>
    </row>
    <row r="543" spans="1:24" ht="60.75" thickTop="1" x14ac:dyDescent="0.25">
      <c r="A543" s="231" t="s">
        <v>140</v>
      </c>
      <c r="B543" s="158" t="s">
        <v>317</v>
      </c>
      <c r="C543" s="158" t="s">
        <v>131</v>
      </c>
      <c r="D543" s="158"/>
      <c r="E543" s="159"/>
      <c r="F543" s="63"/>
      <c r="G543" s="63"/>
      <c r="H543" s="63"/>
      <c r="I543" s="30" t="s">
        <v>210</v>
      </c>
      <c r="J543" s="30" t="s">
        <v>210</v>
      </c>
      <c r="K543" s="233">
        <v>42156</v>
      </c>
      <c r="L543" s="249" t="str">
        <f t="shared" ref="L543" si="42">CONCATENATE("Level"," ",MIN(I543:I548))</f>
        <v>Level 0</v>
      </c>
      <c r="M543" s="252" t="str">
        <f t="shared" ref="M543" si="43">CONCATENATE("Level"," ",MIN(J543:J548))</f>
        <v>Level 0</v>
      </c>
      <c r="V543" s="19" t="s">
        <v>244</v>
      </c>
      <c r="W543" s="19" t="s">
        <v>209</v>
      </c>
      <c r="X543" s="240"/>
    </row>
    <row r="544" spans="1:24" ht="60" x14ac:dyDescent="0.25">
      <c r="A544" s="224" t="s">
        <v>140</v>
      </c>
      <c r="B544" s="160" t="s">
        <v>317</v>
      </c>
      <c r="C544" s="160" t="s">
        <v>131</v>
      </c>
      <c r="D544" s="160"/>
      <c r="E544" s="47"/>
      <c r="F544" s="126"/>
      <c r="G544" s="97"/>
      <c r="H544" s="97"/>
      <c r="I544" s="25" t="s">
        <v>210</v>
      </c>
      <c r="J544" s="26" t="s">
        <v>210</v>
      </c>
      <c r="K544" s="85">
        <v>42156</v>
      </c>
      <c r="L544" s="250"/>
      <c r="M544" s="253"/>
      <c r="V544" s="19" t="s">
        <v>244</v>
      </c>
      <c r="W544" s="19" t="s">
        <v>209</v>
      </c>
      <c r="X544" s="240"/>
    </row>
    <row r="545" spans="1:24" ht="60" x14ac:dyDescent="0.25">
      <c r="A545" s="224" t="s">
        <v>140</v>
      </c>
      <c r="B545" s="160" t="s">
        <v>317</v>
      </c>
      <c r="C545" s="160" t="s">
        <v>131</v>
      </c>
      <c r="D545" s="160"/>
      <c r="E545" s="161"/>
      <c r="F545" s="96"/>
      <c r="G545" s="96"/>
      <c r="H545" s="96"/>
      <c r="I545" s="25" t="s">
        <v>210</v>
      </c>
      <c r="J545" s="26" t="s">
        <v>210</v>
      </c>
      <c r="K545" s="85">
        <v>42156</v>
      </c>
      <c r="L545" s="250"/>
      <c r="M545" s="253"/>
      <c r="V545" s="19" t="s">
        <v>244</v>
      </c>
      <c r="W545" s="19" t="s">
        <v>209</v>
      </c>
      <c r="X545" s="240"/>
    </row>
    <row r="546" spans="1:24" ht="60" x14ac:dyDescent="0.25">
      <c r="A546" s="224" t="s">
        <v>140</v>
      </c>
      <c r="B546" s="160" t="s">
        <v>317</v>
      </c>
      <c r="C546" s="160" t="s">
        <v>131</v>
      </c>
      <c r="D546" s="160"/>
      <c r="E546" s="162"/>
      <c r="F546" s="127"/>
      <c r="G546" s="98"/>
      <c r="H546" s="98"/>
      <c r="I546" s="25" t="s">
        <v>210</v>
      </c>
      <c r="J546" s="26" t="s">
        <v>210</v>
      </c>
      <c r="K546" s="85">
        <v>42156</v>
      </c>
      <c r="L546" s="250"/>
      <c r="M546" s="253"/>
      <c r="V546" s="19" t="s">
        <v>244</v>
      </c>
      <c r="W546" s="19" t="s">
        <v>209</v>
      </c>
      <c r="X546" s="240"/>
    </row>
    <row r="547" spans="1:24" ht="60" x14ac:dyDescent="0.25">
      <c r="A547" s="224" t="s">
        <v>140</v>
      </c>
      <c r="B547" s="160" t="s">
        <v>317</v>
      </c>
      <c r="C547" s="160" t="s">
        <v>131</v>
      </c>
      <c r="D547" s="160"/>
      <c r="E547" s="47"/>
      <c r="F547" s="126"/>
      <c r="G547" s="97"/>
      <c r="H547" s="97"/>
      <c r="I547" s="26" t="s">
        <v>210</v>
      </c>
      <c r="J547" s="26" t="s">
        <v>210</v>
      </c>
      <c r="K547" s="85">
        <v>42156</v>
      </c>
      <c r="L547" s="250"/>
      <c r="M547" s="253"/>
      <c r="V547" s="19" t="s">
        <v>244</v>
      </c>
      <c r="W547" s="19" t="s">
        <v>209</v>
      </c>
      <c r="X547" s="240"/>
    </row>
    <row r="548" spans="1:24" ht="60.75" thickBot="1" x14ac:dyDescent="0.3">
      <c r="A548" s="225" t="s">
        <v>140</v>
      </c>
      <c r="B548" s="163" t="s">
        <v>317</v>
      </c>
      <c r="C548" s="163" t="s">
        <v>131</v>
      </c>
      <c r="D548" s="163"/>
      <c r="E548" s="164"/>
      <c r="F548" s="128"/>
      <c r="G548" s="129"/>
      <c r="H548" s="129"/>
      <c r="I548" s="31" t="s">
        <v>210</v>
      </c>
      <c r="J548" s="31" t="s">
        <v>210</v>
      </c>
      <c r="K548" s="86">
        <v>42156</v>
      </c>
      <c r="L548" s="251"/>
      <c r="M548" s="254"/>
      <c r="V548" s="19" t="s">
        <v>244</v>
      </c>
      <c r="W548" s="19" t="s">
        <v>209</v>
      </c>
      <c r="X548" s="240"/>
    </row>
    <row r="549" spans="1:24" ht="45.75" thickTop="1" x14ac:dyDescent="0.25">
      <c r="A549" s="226" t="s">
        <v>140</v>
      </c>
      <c r="B549" s="165" t="s">
        <v>317</v>
      </c>
      <c r="C549" s="165" t="s">
        <v>184</v>
      </c>
      <c r="D549" s="165"/>
      <c r="E549" s="166"/>
      <c r="F549" s="130"/>
      <c r="G549" s="130"/>
      <c r="H549" s="130"/>
      <c r="I549" s="32" t="s">
        <v>210</v>
      </c>
      <c r="J549" s="32" t="s">
        <v>210</v>
      </c>
      <c r="K549" s="203">
        <v>42156</v>
      </c>
      <c r="L549" s="249" t="str">
        <f t="shared" ref="L549" si="44">CONCATENATE("Level"," ",MIN(I549:I554))</f>
        <v>Level 0</v>
      </c>
      <c r="M549" s="252" t="str">
        <f t="shared" ref="M549" si="45">CONCATENATE("Level"," ",MIN(J549:J554))</f>
        <v>Level 0</v>
      </c>
      <c r="V549" s="19" t="s">
        <v>244</v>
      </c>
      <c r="W549" s="19"/>
      <c r="X549" s="241"/>
    </row>
    <row r="550" spans="1:24" ht="45" x14ac:dyDescent="0.25">
      <c r="A550" s="227" t="s">
        <v>140</v>
      </c>
      <c r="B550" s="167" t="s">
        <v>317</v>
      </c>
      <c r="C550" s="167" t="s">
        <v>184</v>
      </c>
      <c r="D550" s="167"/>
      <c r="E550" s="50"/>
      <c r="F550" s="131"/>
      <c r="G550" s="92"/>
      <c r="H550" s="92"/>
      <c r="I550" s="6" t="s">
        <v>210</v>
      </c>
      <c r="J550" s="5" t="s">
        <v>210</v>
      </c>
      <c r="K550" s="88">
        <v>42156</v>
      </c>
      <c r="L550" s="250"/>
      <c r="M550" s="253"/>
      <c r="V550" s="19" t="s">
        <v>244</v>
      </c>
      <c r="W550" s="19"/>
      <c r="X550" s="241"/>
    </row>
    <row r="551" spans="1:24" ht="45" x14ac:dyDescent="0.25">
      <c r="A551" s="227" t="s">
        <v>140</v>
      </c>
      <c r="B551" s="167" t="s">
        <v>317</v>
      </c>
      <c r="C551" s="167" t="s">
        <v>184</v>
      </c>
      <c r="D551" s="167"/>
      <c r="E551" s="168"/>
      <c r="F551" s="93"/>
      <c r="G551" s="93"/>
      <c r="H551" s="93"/>
      <c r="I551" s="6" t="s">
        <v>210</v>
      </c>
      <c r="J551" s="5" t="s">
        <v>210</v>
      </c>
      <c r="K551" s="88">
        <v>42156</v>
      </c>
      <c r="L551" s="250"/>
      <c r="M551" s="253"/>
      <c r="V551" s="19" t="s">
        <v>244</v>
      </c>
      <c r="W551" s="19"/>
      <c r="X551" s="241"/>
    </row>
    <row r="552" spans="1:24" ht="45" x14ac:dyDescent="0.25">
      <c r="A552" s="227" t="s">
        <v>140</v>
      </c>
      <c r="B552" s="167" t="s">
        <v>317</v>
      </c>
      <c r="C552" s="167" t="s">
        <v>184</v>
      </c>
      <c r="D552" s="167"/>
      <c r="E552" s="169"/>
      <c r="F552" s="132"/>
      <c r="G552" s="91"/>
      <c r="H552" s="91"/>
      <c r="I552" s="6" t="s">
        <v>210</v>
      </c>
      <c r="J552" s="5" t="s">
        <v>210</v>
      </c>
      <c r="K552" s="88">
        <v>42156</v>
      </c>
      <c r="L552" s="250"/>
      <c r="M552" s="253"/>
      <c r="V552" s="19" t="s">
        <v>244</v>
      </c>
      <c r="W552" s="19"/>
      <c r="X552" s="241"/>
    </row>
    <row r="553" spans="1:24" ht="45" x14ac:dyDescent="0.25">
      <c r="A553" s="227" t="s">
        <v>140</v>
      </c>
      <c r="B553" s="167" t="s">
        <v>317</v>
      </c>
      <c r="C553" s="167" t="s">
        <v>184</v>
      </c>
      <c r="D553" s="167"/>
      <c r="E553" s="50"/>
      <c r="F553" s="131"/>
      <c r="G553" s="92"/>
      <c r="H553" s="92"/>
      <c r="I553" s="5" t="s">
        <v>210</v>
      </c>
      <c r="J553" s="5" t="s">
        <v>210</v>
      </c>
      <c r="K553" s="88">
        <v>42156</v>
      </c>
      <c r="L553" s="250"/>
      <c r="M553" s="253"/>
      <c r="V553" s="19" t="s">
        <v>244</v>
      </c>
      <c r="W553" s="19"/>
      <c r="X553" s="241"/>
    </row>
    <row r="554" spans="1:24" ht="45.75" thickBot="1" x14ac:dyDescent="0.3">
      <c r="A554" s="229" t="s">
        <v>140</v>
      </c>
      <c r="B554" s="170" t="s">
        <v>317</v>
      </c>
      <c r="C554" s="170" t="s">
        <v>184</v>
      </c>
      <c r="D554" s="170"/>
      <c r="E554" s="171"/>
      <c r="F554" s="133"/>
      <c r="G554" s="101"/>
      <c r="H554" s="101"/>
      <c r="I554" s="33" t="s">
        <v>210</v>
      </c>
      <c r="J554" s="33" t="s">
        <v>210</v>
      </c>
      <c r="K554" s="89">
        <v>42156</v>
      </c>
      <c r="L554" s="251"/>
      <c r="M554" s="254"/>
      <c r="V554" s="19" t="s">
        <v>244</v>
      </c>
      <c r="W554" s="19"/>
      <c r="X554" s="241"/>
    </row>
    <row r="555" spans="1:24" ht="45.75" thickTop="1" x14ac:dyDescent="0.25">
      <c r="A555" s="231" t="s">
        <v>140</v>
      </c>
      <c r="B555" s="158" t="s">
        <v>317</v>
      </c>
      <c r="C555" s="158" t="s">
        <v>185</v>
      </c>
      <c r="D555" s="158"/>
      <c r="E555" s="159"/>
      <c r="F555" s="63"/>
      <c r="G555" s="63"/>
      <c r="H555" s="63"/>
      <c r="I555" s="30" t="s">
        <v>210</v>
      </c>
      <c r="J555" s="30" t="s">
        <v>210</v>
      </c>
      <c r="K555" s="233">
        <v>42156</v>
      </c>
      <c r="L555" s="249" t="str">
        <f t="shared" ref="L555" si="46">CONCATENATE("Level"," ",MIN(I555:I560))</f>
        <v>Level 0</v>
      </c>
      <c r="M555" s="252" t="str">
        <f t="shared" ref="M555" si="47">CONCATENATE("Level"," ",MIN(J555:J560))</f>
        <v>Level 0</v>
      </c>
      <c r="V555" s="19" t="s">
        <v>244</v>
      </c>
      <c r="W555" s="19"/>
      <c r="X555" s="241"/>
    </row>
    <row r="556" spans="1:24" ht="45" x14ac:dyDescent="0.25">
      <c r="A556" s="224" t="s">
        <v>140</v>
      </c>
      <c r="B556" s="160" t="s">
        <v>317</v>
      </c>
      <c r="C556" s="160" t="s">
        <v>185</v>
      </c>
      <c r="D556" s="160"/>
      <c r="E556" s="47"/>
      <c r="F556" s="126"/>
      <c r="G556" s="97"/>
      <c r="H556" s="97"/>
      <c r="I556" s="25" t="s">
        <v>210</v>
      </c>
      <c r="J556" s="26" t="s">
        <v>210</v>
      </c>
      <c r="K556" s="85">
        <v>42156</v>
      </c>
      <c r="L556" s="250"/>
      <c r="M556" s="253"/>
      <c r="V556" s="19" t="s">
        <v>244</v>
      </c>
      <c r="W556" s="19"/>
      <c r="X556" s="241"/>
    </row>
    <row r="557" spans="1:24" ht="45" x14ac:dyDescent="0.25">
      <c r="A557" s="224" t="s">
        <v>140</v>
      </c>
      <c r="B557" s="160" t="s">
        <v>317</v>
      </c>
      <c r="C557" s="160" t="s">
        <v>185</v>
      </c>
      <c r="D557" s="160"/>
      <c r="E557" s="161"/>
      <c r="F557" s="96"/>
      <c r="G557" s="96"/>
      <c r="H557" s="96"/>
      <c r="I557" s="25" t="s">
        <v>210</v>
      </c>
      <c r="J557" s="26" t="s">
        <v>210</v>
      </c>
      <c r="K557" s="85">
        <v>42156</v>
      </c>
      <c r="L557" s="250"/>
      <c r="M557" s="253"/>
      <c r="V557" s="19" t="s">
        <v>244</v>
      </c>
      <c r="W557" s="19"/>
      <c r="X557" s="241"/>
    </row>
    <row r="558" spans="1:24" ht="45" x14ac:dyDescent="0.25">
      <c r="A558" s="224" t="s">
        <v>140</v>
      </c>
      <c r="B558" s="160" t="s">
        <v>317</v>
      </c>
      <c r="C558" s="160" t="s">
        <v>185</v>
      </c>
      <c r="D558" s="160"/>
      <c r="E558" s="162"/>
      <c r="F558" s="127"/>
      <c r="G558" s="98"/>
      <c r="H558" s="98"/>
      <c r="I558" s="25" t="s">
        <v>210</v>
      </c>
      <c r="J558" s="26" t="s">
        <v>210</v>
      </c>
      <c r="K558" s="85">
        <v>42156</v>
      </c>
      <c r="L558" s="250"/>
      <c r="M558" s="253"/>
      <c r="V558" s="19" t="s">
        <v>244</v>
      </c>
      <c r="W558" s="19"/>
      <c r="X558" s="241"/>
    </row>
    <row r="559" spans="1:24" ht="45" x14ac:dyDescent="0.25">
      <c r="A559" s="224" t="s">
        <v>140</v>
      </c>
      <c r="B559" s="160" t="s">
        <v>317</v>
      </c>
      <c r="C559" s="160" t="s">
        <v>185</v>
      </c>
      <c r="D559" s="160"/>
      <c r="E559" s="47"/>
      <c r="F559" s="126"/>
      <c r="G559" s="97"/>
      <c r="H559" s="97"/>
      <c r="I559" s="26" t="s">
        <v>210</v>
      </c>
      <c r="J559" s="26" t="s">
        <v>210</v>
      </c>
      <c r="K559" s="85">
        <v>42156</v>
      </c>
      <c r="L559" s="250"/>
      <c r="M559" s="253"/>
      <c r="V559" s="19" t="s">
        <v>244</v>
      </c>
      <c r="W559" s="19"/>
      <c r="X559" s="241"/>
    </row>
    <row r="560" spans="1:24" ht="45.75" thickBot="1" x14ac:dyDescent="0.3">
      <c r="A560" s="225" t="s">
        <v>140</v>
      </c>
      <c r="B560" s="163" t="s">
        <v>317</v>
      </c>
      <c r="C560" s="163" t="s">
        <v>185</v>
      </c>
      <c r="D560" s="163"/>
      <c r="E560" s="164"/>
      <c r="F560" s="128"/>
      <c r="G560" s="129"/>
      <c r="H560" s="129"/>
      <c r="I560" s="31" t="s">
        <v>210</v>
      </c>
      <c r="J560" s="31" t="s">
        <v>210</v>
      </c>
      <c r="K560" s="86">
        <v>42156</v>
      </c>
      <c r="L560" s="251"/>
      <c r="M560" s="254"/>
      <c r="V560" s="19" t="s">
        <v>244</v>
      </c>
      <c r="W560" s="19"/>
      <c r="X560" s="241"/>
    </row>
    <row r="561" spans="1:24" ht="30.75" thickTop="1" x14ac:dyDescent="0.25">
      <c r="A561" s="226" t="s">
        <v>141</v>
      </c>
      <c r="B561" s="165" t="s">
        <v>319</v>
      </c>
      <c r="C561" s="165" t="s">
        <v>186</v>
      </c>
      <c r="D561" s="165" t="s">
        <v>250</v>
      </c>
      <c r="E561" s="166" t="s">
        <v>348</v>
      </c>
      <c r="F561" s="130"/>
      <c r="G561" s="130"/>
      <c r="H561" s="130"/>
      <c r="I561" s="32">
        <v>2</v>
      </c>
      <c r="J561" s="32">
        <v>3</v>
      </c>
      <c r="K561" s="203">
        <v>42156</v>
      </c>
      <c r="L561" s="249" t="str">
        <f t="shared" ref="L561" si="48">CONCATENATE("Level"," ",MIN(I561:I573))</f>
        <v>Level 2</v>
      </c>
      <c r="M561" s="252" t="str">
        <f t="shared" ref="M561" si="49">CONCATENATE("Level"," ",MIN(J561:J573))</f>
        <v>Level 2</v>
      </c>
      <c r="U561" s="218">
        <v>1</v>
      </c>
      <c r="V561" s="19" t="s">
        <v>244</v>
      </c>
      <c r="W561" s="19"/>
      <c r="X561" s="241"/>
    </row>
    <row r="562" spans="1:24" ht="135" x14ac:dyDescent="0.25">
      <c r="A562" s="228" t="s">
        <v>141</v>
      </c>
      <c r="B562" s="199" t="s">
        <v>319</v>
      </c>
      <c r="C562" s="199" t="s">
        <v>186</v>
      </c>
      <c r="D562" s="199" t="s">
        <v>326</v>
      </c>
      <c r="E562" s="200" t="s">
        <v>348</v>
      </c>
      <c r="F562" s="201"/>
      <c r="G562" s="201"/>
      <c r="H562" s="201"/>
      <c r="I562" s="202">
        <v>3</v>
      </c>
      <c r="J562" s="202">
        <v>3</v>
      </c>
      <c r="K562" s="88">
        <v>42156</v>
      </c>
      <c r="L562" s="250"/>
      <c r="M562" s="253"/>
      <c r="U562" s="218">
        <v>34</v>
      </c>
      <c r="V562" s="19" t="s">
        <v>244</v>
      </c>
      <c r="W562" s="19"/>
      <c r="X562" s="241"/>
    </row>
    <row r="563" spans="1:24" ht="45" x14ac:dyDescent="0.25">
      <c r="A563" s="228" t="s">
        <v>141</v>
      </c>
      <c r="B563" s="199" t="s">
        <v>319</v>
      </c>
      <c r="C563" s="199" t="s">
        <v>186</v>
      </c>
      <c r="D563" s="199" t="s">
        <v>266</v>
      </c>
      <c r="E563" s="200" t="s">
        <v>348</v>
      </c>
      <c r="F563" s="201"/>
      <c r="G563" s="201"/>
      <c r="H563" s="201"/>
      <c r="I563" s="202">
        <v>3</v>
      </c>
      <c r="J563" s="202">
        <v>3</v>
      </c>
      <c r="K563" s="88">
        <v>42156</v>
      </c>
      <c r="L563" s="250"/>
      <c r="M563" s="253"/>
      <c r="U563" s="218">
        <v>2</v>
      </c>
      <c r="V563" s="19" t="s">
        <v>244</v>
      </c>
      <c r="W563" s="19"/>
      <c r="X563" s="241"/>
    </row>
    <row r="564" spans="1:24" ht="45" x14ac:dyDescent="0.25">
      <c r="A564" s="228" t="s">
        <v>141</v>
      </c>
      <c r="B564" s="199" t="s">
        <v>319</v>
      </c>
      <c r="C564" s="199" t="s">
        <v>186</v>
      </c>
      <c r="D564" s="199" t="s">
        <v>327</v>
      </c>
      <c r="E564" s="200" t="s">
        <v>348</v>
      </c>
      <c r="F564" s="201"/>
      <c r="G564" s="201"/>
      <c r="H564" s="201"/>
      <c r="I564" s="202">
        <v>3</v>
      </c>
      <c r="J564" s="202">
        <v>3</v>
      </c>
      <c r="K564" s="88">
        <v>42156</v>
      </c>
      <c r="L564" s="250"/>
      <c r="M564" s="253"/>
      <c r="U564" s="218">
        <v>35</v>
      </c>
      <c r="V564" s="19" t="s">
        <v>244</v>
      </c>
      <c r="W564" s="19"/>
      <c r="X564" s="241"/>
    </row>
    <row r="565" spans="1:24" ht="30" x14ac:dyDescent="0.25">
      <c r="A565" s="228" t="s">
        <v>141</v>
      </c>
      <c r="B565" s="199" t="s">
        <v>319</v>
      </c>
      <c r="C565" s="199" t="s">
        <v>186</v>
      </c>
      <c r="D565" s="199" t="s">
        <v>328</v>
      </c>
      <c r="E565" s="200" t="s">
        <v>348</v>
      </c>
      <c r="F565" s="201"/>
      <c r="G565" s="201"/>
      <c r="H565" s="201"/>
      <c r="I565" s="202">
        <v>2</v>
      </c>
      <c r="J565" s="202">
        <v>3</v>
      </c>
      <c r="K565" s="88">
        <v>42156</v>
      </c>
      <c r="L565" s="250"/>
      <c r="M565" s="253"/>
      <c r="U565" s="218">
        <v>36</v>
      </c>
      <c r="V565" s="19" t="s">
        <v>244</v>
      </c>
      <c r="W565" s="19"/>
      <c r="X565" s="241"/>
    </row>
    <row r="566" spans="1:24" ht="75" x14ac:dyDescent="0.25">
      <c r="A566" s="228" t="s">
        <v>141</v>
      </c>
      <c r="B566" s="199" t="s">
        <v>319</v>
      </c>
      <c r="C566" s="199" t="s">
        <v>186</v>
      </c>
      <c r="D566" s="199" t="s">
        <v>252</v>
      </c>
      <c r="E566" s="200" t="s">
        <v>348</v>
      </c>
      <c r="F566" s="201"/>
      <c r="G566" s="201"/>
      <c r="H566" s="201"/>
      <c r="I566" s="202">
        <v>2</v>
      </c>
      <c r="J566" s="202">
        <v>3</v>
      </c>
      <c r="K566" s="88">
        <v>42156</v>
      </c>
      <c r="L566" s="250"/>
      <c r="M566" s="253"/>
      <c r="U566" s="218">
        <v>3</v>
      </c>
      <c r="V566" s="19" t="s">
        <v>244</v>
      </c>
      <c r="W566" s="19"/>
      <c r="X566" s="241"/>
    </row>
    <row r="567" spans="1:24" ht="30" x14ac:dyDescent="0.25">
      <c r="A567" s="228" t="s">
        <v>141</v>
      </c>
      <c r="B567" s="199" t="s">
        <v>319</v>
      </c>
      <c r="C567" s="199" t="s">
        <v>186</v>
      </c>
      <c r="D567" s="199" t="s">
        <v>259</v>
      </c>
      <c r="E567" s="200" t="s">
        <v>0</v>
      </c>
      <c r="F567" s="201"/>
      <c r="G567" s="201"/>
      <c r="H567" s="201"/>
      <c r="I567" s="202">
        <v>2</v>
      </c>
      <c r="J567" s="202">
        <v>2</v>
      </c>
      <c r="K567" s="88">
        <v>42156</v>
      </c>
      <c r="L567" s="250"/>
      <c r="M567" s="253"/>
      <c r="U567" s="218">
        <v>55</v>
      </c>
      <c r="V567" s="19" t="s">
        <v>244</v>
      </c>
      <c r="W567" s="19"/>
      <c r="X567" s="241"/>
    </row>
    <row r="568" spans="1:24" ht="45" x14ac:dyDescent="0.25">
      <c r="A568" s="228" t="s">
        <v>141</v>
      </c>
      <c r="B568" s="199" t="s">
        <v>319</v>
      </c>
      <c r="C568" s="199" t="s">
        <v>186</v>
      </c>
      <c r="D568" s="199" t="s">
        <v>247</v>
      </c>
      <c r="E568" s="200" t="s">
        <v>0</v>
      </c>
      <c r="F568" s="201"/>
      <c r="G568" s="201"/>
      <c r="H568" s="201"/>
      <c r="I568" s="202">
        <v>2</v>
      </c>
      <c r="J568" s="202">
        <v>3</v>
      </c>
      <c r="K568" s="88">
        <v>42156</v>
      </c>
      <c r="L568" s="250"/>
      <c r="M568" s="253"/>
      <c r="U568" s="218">
        <v>55</v>
      </c>
      <c r="V568" s="19" t="s">
        <v>244</v>
      </c>
      <c r="W568" s="19"/>
      <c r="X568" s="241"/>
    </row>
    <row r="569" spans="1:24" ht="45" x14ac:dyDescent="0.25">
      <c r="A569" s="227" t="s">
        <v>141</v>
      </c>
      <c r="B569" s="167" t="s">
        <v>319</v>
      </c>
      <c r="C569" s="167" t="s">
        <v>186</v>
      </c>
      <c r="D569" s="167" t="s">
        <v>248</v>
      </c>
      <c r="E569" s="50" t="s">
        <v>34</v>
      </c>
      <c r="F569" s="131"/>
      <c r="G569" s="92"/>
      <c r="H569" s="92"/>
      <c r="I569" s="6">
        <v>2</v>
      </c>
      <c r="J569" s="5">
        <v>3</v>
      </c>
      <c r="K569" s="88">
        <v>42156</v>
      </c>
      <c r="L569" s="250"/>
      <c r="M569" s="253"/>
      <c r="U569" s="218">
        <v>56</v>
      </c>
      <c r="V569" s="19" t="s">
        <v>244</v>
      </c>
      <c r="W569" s="19"/>
      <c r="X569" s="241"/>
    </row>
    <row r="570" spans="1:24" ht="45" x14ac:dyDescent="0.25">
      <c r="A570" s="227" t="s">
        <v>141</v>
      </c>
      <c r="B570" s="167" t="s">
        <v>319</v>
      </c>
      <c r="C570" s="167" t="s">
        <v>186</v>
      </c>
      <c r="D570" s="167" t="s">
        <v>300</v>
      </c>
      <c r="E570" s="168" t="s">
        <v>35</v>
      </c>
      <c r="F570" s="93"/>
      <c r="G570" s="93"/>
      <c r="H570" s="93"/>
      <c r="I570" s="6">
        <v>2</v>
      </c>
      <c r="J570" s="5">
        <v>3</v>
      </c>
      <c r="K570" s="88">
        <v>42156</v>
      </c>
      <c r="L570" s="250"/>
      <c r="M570" s="253"/>
      <c r="U570" s="218">
        <v>57</v>
      </c>
      <c r="V570" s="19" t="s">
        <v>244</v>
      </c>
      <c r="W570" s="19"/>
      <c r="X570" s="241"/>
    </row>
    <row r="571" spans="1:24" ht="30" x14ac:dyDescent="0.25">
      <c r="A571" s="227" t="s">
        <v>141</v>
      </c>
      <c r="B571" s="167" t="s">
        <v>319</v>
      </c>
      <c r="C571" s="167" t="s">
        <v>186</v>
      </c>
      <c r="D571" s="167" t="s">
        <v>249</v>
      </c>
      <c r="E571" s="169" t="s">
        <v>36</v>
      </c>
      <c r="F571" s="132"/>
      <c r="G571" s="91"/>
      <c r="H571" s="91"/>
      <c r="I571" s="6">
        <v>2</v>
      </c>
      <c r="J571" s="5">
        <v>3</v>
      </c>
      <c r="K571" s="88">
        <v>42156</v>
      </c>
      <c r="L571" s="250"/>
      <c r="M571" s="253"/>
      <c r="U571" s="218">
        <v>58</v>
      </c>
      <c r="V571" s="19" t="s">
        <v>244</v>
      </c>
      <c r="W571" s="19"/>
      <c r="X571" s="241"/>
    </row>
    <row r="572" spans="1:24" ht="30" x14ac:dyDescent="0.25">
      <c r="A572" s="227" t="s">
        <v>141</v>
      </c>
      <c r="B572" s="167" t="s">
        <v>319</v>
      </c>
      <c r="C572" s="167" t="s">
        <v>186</v>
      </c>
      <c r="D572" s="167" t="s">
        <v>261</v>
      </c>
      <c r="E572" s="50" t="s">
        <v>37</v>
      </c>
      <c r="F572" s="131"/>
      <c r="G572" s="92"/>
      <c r="H572" s="92"/>
      <c r="I572" s="5">
        <v>3</v>
      </c>
      <c r="J572" s="5">
        <v>3</v>
      </c>
      <c r="K572" s="88">
        <v>42156</v>
      </c>
      <c r="L572" s="250"/>
      <c r="M572" s="253"/>
      <c r="U572" s="218">
        <v>59</v>
      </c>
      <c r="V572" s="19" t="s">
        <v>244</v>
      </c>
      <c r="W572" s="19"/>
      <c r="X572" s="241"/>
    </row>
    <row r="573" spans="1:24" ht="45.75" thickBot="1" x14ac:dyDescent="0.3">
      <c r="A573" s="229" t="s">
        <v>141</v>
      </c>
      <c r="B573" s="170" t="s">
        <v>319</v>
      </c>
      <c r="C573" s="170" t="s">
        <v>186</v>
      </c>
      <c r="D573" s="170" t="s">
        <v>262</v>
      </c>
      <c r="E573" s="171" t="s">
        <v>38</v>
      </c>
      <c r="F573" s="133"/>
      <c r="G573" s="101"/>
      <c r="H573" s="101"/>
      <c r="I573" s="33">
        <v>2</v>
      </c>
      <c r="J573" s="33">
        <v>2</v>
      </c>
      <c r="K573" s="89">
        <v>42156</v>
      </c>
      <c r="L573" s="251"/>
      <c r="M573" s="254"/>
      <c r="U573" s="218">
        <v>60</v>
      </c>
      <c r="V573" s="19" t="s">
        <v>244</v>
      </c>
      <c r="W573" s="19"/>
      <c r="X573" s="241"/>
    </row>
    <row r="574" spans="1:24" ht="30.75" thickTop="1" x14ac:dyDescent="0.25">
      <c r="A574" s="231" t="s">
        <v>141</v>
      </c>
      <c r="B574" s="158" t="s">
        <v>319</v>
      </c>
      <c r="C574" s="158" t="s">
        <v>187</v>
      </c>
      <c r="D574" s="158" t="s">
        <v>250</v>
      </c>
      <c r="E574" s="159" t="s">
        <v>348</v>
      </c>
      <c r="F574" s="63"/>
      <c r="G574" s="63"/>
      <c r="H574" s="63"/>
      <c r="I574" s="30">
        <v>3</v>
      </c>
      <c r="J574" s="30">
        <v>3</v>
      </c>
      <c r="K574" s="233">
        <v>42156</v>
      </c>
      <c r="L574" s="249" t="str">
        <f t="shared" ref="L574" si="50">CONCATENATE("Level"," ",MIN(I574:I585))</f>
        <v>Level 1</v>
      </c>
      <c r="M574" s="252" t="str">
        <f t="shared" ref="M574" si="51">CONCATENATE("Level"," ",MIN(J574:J585))</f>
        <v>Level 2</v>
      </c>
      <c r="U574" s="218">
        <v>1</v>
      </c>
      <c r="V574" s="19" t="s">
        <v>244</v>
      </c>
      <c r="W574" s="19"/>
      <c r="X574" s="241"/>
    </row>
    <row r="575" spans="1:24" ht="60" x14ac:dyDescent="0.25">
      <c r="A575" s="230" t="s">
        <v>141</v>
      </c>
      <c r="B575" s="190" t="s">
        <v>319</v>
      </c>
      <c r="C575" s="190" t="s">
        <v>187</v>
      </c>
      <c r="D575" s="190" t="s">
        <v>329</v>
      </c>
      <c r="E575" s="191" t="s">
        <v>348</v>
      </c>
      <c r="F575" s="192"/>
      <c r="G575" s="192"/>
      <c r="H575" s="192"/>
      <c r="I575" s="193">
        <v>3</v>
      </c>
      <c r="J575" s="193">
        <v>3</v>
      </c>
      <c r="K575" s="85">
        <v>42156</v>
      </c>
      <c r="L575" s="250"/>
      <c r="M575" s="253"/>
      <c r="U575" s="218">
        <v>37</v>
      </c>
      <c r="V575" s="19" t="s">
        <v>244</v>
      </c>
      <c r="W575" s="19"/>
      <c r="X575" s="241"/>
    </row>
    <row r="576" spans="1:24" ht="60" x14ac:dyDescent="0.25">
      <c r="A576" s="230" t="s">
        <v>141</v>
      </c>
      <c r="B576" s="190" t="s">
        <v>319</v>
      </c>
      <c r="C576" s="190" t="s">
        <v>187</v>
      </c>
      <c r="D576" s="190" t="s">
        <v>330</v>
      </c>
      <c r="E576" s="191" t="s">
        <v>348</v>
      </c>
      <c r="F576" s="192"/>
      <c r="G576" s="192"/>
      <c r="H576" s="192"/>
      <c r="I576" s="193">
        <v>2</v>
      </c>
      <c r="J576" s="193">
        <v>3</v>
      </c>
      <c r="K576" s="85">
        <v>42156</v>
      </c>
      <c r="L576" s="250"/>
      <c r="M576" s="253"/>
      <c r="U576" s="218">
        <v>38</v>
      </c>
      <c r="V576" s="19" t="s">
        <v>244</v>
      </c>
      <c r="W576" s="19"/>
      <c r="X576" s="241"/>
    </row>
    <row r="577" spans="1:24" ht="45" x14ac:dyDescent="0.25">
      <c r="A577" s="230" t="s">
        <v>141</v>
      </c>
      <c r="B577" s="190" t="s">
        <v>319</v>
      </c>
      <c r="C577" s="190" t="s">
        <v>187</v>
      </c>
      <c r="D577" s="190" t="s">
        <v>266</v>
      </c>
      <c r="E577" s="191" t="s">
        <v>348</v>
      </c>
      <c r="F577" s="192"/>
      <c r="G577" s="192"/>
      <c r="H577" s="192"/>
      <c r="I577" s="193">
        <v>3</v>
      </c>
      <c r="J577" s="193">
        <v>3</v>
      </c>
      <c r="K577" s="85">
        <v>42156</v>
      </c>
      <c r="L577" s="250"/>
      <c r="M577" s="253"/>
      <c r="U577" s="218">
        <v>2</v>
      </c>
      <c r="V577" s="19" t="s">
        <v>244</v>
      </c>
      <c r="W577" s="19"/>
      <c r="X577" s="241"/>
    </row>
    <row r="578" spans="1:24" ht="75" x14ac:dyDescent="0.25">
      <c r="A578" s="230" t="s">
        <v>141</v>
      </c>
      <c r="B578" s="190" t="s">
        <v>319</v>
      </c>
      <c r="C578" s="190" t="s">
        <v>187</v>
      </c>
      <c r="D578" s="190" t="s">
        <v>252</v>
      </c>
      <c r="E578" s="191" t="s">
        <v>348</v>
      </c>
      <c r="F578" s="192"/>
      <c r="G578" s="192"/>
      <c r="H578" s="192"/>
      <c r="I578" s="193">
        <v>2</v>
      </c>
      <c r="J578" s="193">
        <v>2</v>
      </c>
      <c r="K578" s="85">
        <v>42156</v>
      </c>
      <c r="L578" s="250"/>
      <c r="M578" s="253"/>
      <c r="U578" s="218">
        <v>3</v>
      </c>
      <c r="V578" s="19" t="s">
        <v>244</v>
      </c>
      <c r="W578" s="19"/>
      <c r="X578" s="241"/>
    </row>
    <row r="579" spans="1:24" ht="30" x14ac:dyDescent="0.25">
      <c r="A579" s="230" t="s">
        <v>141</v>
      </c>
      <c r="B579" s="190" t="s">
        <v>319</v>
      </c>
      <c r="C579" s="190" t="s">
        <v>187</v>
      </c>
      <c r="D579" s="190" t="s">
        <v>259</v>
      </c>
      <c r="E579" s="191" t="s">
        <v>0</v>
      </c>
      <c r="F579" s="192"/>
      <c r="G579" s="192"/>
      <c r="H579" s="192"/>
      <c r="I579" s="193">
        <v>1</v>
      </c>
      <c r="J579" s="193">
        <v>2</v>
      </c>
      <c r="K579" s="85">
        <v>42156</v>
      </c>
      <c r="L579" s="250"/>
      <c r="M579" s="253"/>
      <c r="U579" s="218">
        <v>55</v>
      </c>
      <c r="V579" s="19" t="s">
        <v>244</v>
      </c>
      <c r="W579" s="19"/>
      <c r="X579" s="241"/>
    </row>
    <row r="580" spans="1:24" ht="45" x14ac:dyDescent="0.25">
      <c r="A580" s="230" t="s">
        <v>141</v>
      </c>
      <c r="B580" s="190" t="s">
        <v>319</v>
      </c>
      <c r="C580" s="190" t="s">
        <v>187</v>
      </c>
      <c r="D580" s="190" t="s">
        <v>247</v>
      </c>
      <c r="E580" s="47" t="s">
        <v>34</v>
      </c>
      <c r="F580" s="192"/>
      <c r="G580" s="192"/>
      <c r="H580" s="192"/>
      <c r="I580" s="193">
        <v>2</v>
      </c>
      <c r="J580" s="193">
        <v>3</v>
      </c>
      <c r="K580" s="85">
        <v>42156</v>
      </c>
      <c r="L580" s="250"/>
      <c r="M580" s="253"/>
      <c r="U580" s="218">
        <v>56</v>
      </c>
      <c r="V580" s="19" t="s">
        <v>244</v>
      </c>
      <c r="W580" s="19"/>
      <c r="X580" s="241"/>
    </row>
    <row r="581" spans="1:24" ht="45" x14ac:dyDescent="0.25">
      <c r="A581" s="224" t="s">
        <v>141</v>
      </c>
      <c r="B581" s="160" t="s">
        <v>319</v>
      </c>
      <c r="C581" s="160" t="s">
        <v>187</v>
      </c>
      <c r="D581" s="160" t="s">
        <v>248</v>
      </c>
      <c r="E581" s="47" t="s">
        <v>34</v>
      </c>
      <c r="F581" s="126"/>
      <c r="G581" s="97"/>
      <c r="H581" s="97"/>
      <c r="I581" s="25">
        <v>1</v>
      </c>
      <c r="J581" s="26">
        <v>2</v>
      </c>
      <c r="K581" s="85">
        <v>42156</v>
      </c>
      <c r="L581" s="250"/>
      <c r="M581" s="253"/>
      <c r="U581" s="218">
        <v>56</v>
      </c>
      <c r="V581" s="19" t="s">
        <v>244</v>
      </c>
      <c r="W581" s="19"/>
      <c r="X581" s="241"/>
    </row>
    <row r="582" spans="1:24" ht="45" x14ac:dyDescent="0.25">
      <c r="A582" s="224" t="s">
        <v>141</v>
      </c>
      <c r="B582" s="160" t="s">
        <v>319</v>
      </c>
      <c r="C582" s="160" t="s">
        <v>187</v>
      </c>
      <c r="D582" s="160" t="s">
        <v>260</v>
      </c>
      <c r="E582" s="161" t="s">
        <v>35</v>
      </c>
      <c r="F582" s="96"/>
      <c r="G582" s="96"/>
      <c r="H582" s="96"/>
      <c r="I582" s="25">
        <v>2</v>
      </c>
      <c r="J582" s="26">
        <v>3</v>
      </c>
      <c r="K582" s="85">
        <v>42156</v>
      </c>
      <c r="L582" s="250"/>
      <c r="M582" s="253"/>
      <c r="U582" s="218">
        <v>57</v>
      </c>
      <c r="V582" s="19" t="s">
        <v>244</v>
      </c>
      <c r="W582" s="19"/>
      <c r="X582" s="241"/>
    </row>
    <row r="583" spans="1:24" ht="30" x14ac:dyDescent="0.25">
      <c r="A583" s="224" t="s">
        <v>141</v>
      </c>
      <c r="B583" s="160" t="s">
        <v>319</v>
      </c>
      <c r="C583" s="160" t="s">
        <v>187</v>
      </c>
      <c r="D583" s="160" t="s">
        <v>249</v>
      </c>
      <c r="E583" s="162" t="s">
        <v>36</v>
      </c>
      <c r="F583" s="127"/>
      <c r="G583" s="98"/>
      <c r="H583" s="98"/>
      <c r="I583" s="25">
        <v>2</v>
      </c>
      <c r="J583" s="26">
        <v>3</v>
      </c>
      <c r="K583" s="85">
        <v>42156</v>
      </c>
      <c r="L583" s="250"/>
      <c r="M583" s="253"/>
      <c r="U583" s="218">
        <v>58</v>
      </c>
      <c r="V583" s="19" t="s">
        <v>244</v>
      </c>
      <c r="W583" s="19"/>
      <c r="X583" s="241"/>
    </row>
    <row r="584" spans="1:24" ht="30" x14ac:dyDescent="0.25">
      <c r="A584" s="224" t="s">
        <v>141</v>
      </c>
      <c r="B584" s="160" t="s">
        <v>319</v>
      </c>
      <c r="C584" s="160" t="s">
        <v>187</v>
      </c>
      <c r="D584" s="160" t="s">
        <v>261</v>
      </c>
      <c r="E584" s="47" t="s">
        <v>37</v>
      </c>
      <c r="F584" s="126"/>
      <c r="G584" s="97"/>
      <c r="H584" s="97"/>
      <c r="I584" s="26">
        <v>2</v>
      </c>
      <c r="J584" s="26">
        <v>3</v>
      </c>
      <c r="K584" s="85">
        <v>42156</v>
      </c>
      <c r="L584" s="250"/>
      <c r="M584" s="253"/>
      <c r="U584" s="218">
        <v>59</v>
      </c>
      <c r="V584" s="19" t="s">
        <v>244</v>
      </c>
      <c r="W584" s="19"/>
      <c r="X584" s="241"/>
    </row>
    <row r="585" spans="1:24" ht="45.75" thickBot="1" x14ac:dyDescent="0.3">
      <c r="A585" s="225" t="s">
        <v>141</v>
      </c>
      <c r="B585" s="163" t="s">
        <v>319</v>
      </c>
      <c r="C585" s="163" t="s">
        <v>187</v>
      </c>
      <c r="D585" s="163" t="s">
        <v>262</v>
      </c>
      <c r="E585" s="164" t="s">
        <v>38</v>
      </c>
      <c r="F585" s="128"/>
      <c r="G585" s="129"/>
      <c r="H585" s="129"/>
      <c r="I585" s="31">
        <v>2</v>
      </c>
      <c r="J585" s="31">
        <v>2</v>
      </c>
      <c r="K585" s="86">
        <v>42156</v>
      </c>
      <c r="L585" s="251"/>
      <c r="M585" s="254"/>
      <c r="U585" s="218">
        <v>60</v>
      </c>
      <c r="V585" s="19" t="s">
        <v>244</v>
      </c>
      <c r="W585" s="19"/>
      <c r="X585" s="241"/>
    </row>
    <row r="586" spans="1:24" ht="30.75" thickTop="1" x14ac:dyDescent="0.25">
      <c r="A586" s="226" t="s">
        <v>141</v>
      </c>
      <c r="B586" s="165" t="s">
        <v>319</v>
      </c>
      <c r="C586" s="165" t="s">
        <v>188</v>
      </c>
      <c r="D586" s="165" t="s">
        <v>250</v>
      </c>
      <c r="E586" s="166" t="s">
        <v>348</v>
      </c>
      <c r="F586" s="130"/>
      <c r="G586" s="130"/>
      <c r="H586" s="130"/>
      <c r="I586" s="32">
        <v>2</v>
      </c>
      <c r="J586" s="32">
        <v>4</v>
      </c>
      <c r="K586" s="203">
        <v>42156</v>
      </c>
      <c r="L586" s="249" t="str">
        <f t="shared" ref="L586" si="52">CONCATENATE("Level"," ",MIN(I586:I597))</f>
        <v>Level 2</v>
      </c>
      <c r="M586" s="252" t="str">
        <f>CONCATENATE("Level"," ",MIN(J586:J597))</f>
        <v>Level 3</v>
      </c>
      <c r="U586" s="218">
        <v>1</v>
      </c>
      <c r="V586" s="19" t="s">
        <v>244</v>
      </c>
      <c r="W586" s="19"/>
      <c r="X586" s="241"/>
    </row>
    <row r="587" spans="1:24" ht="45" x14ac:dyDescent="0.25">
      <c r="A587" s="228" t="s">
        <v>141</v>
      </c>
      <c r="B587" s="199" t="s">
        <v>319</v>
      </c>
      <c r="C587" s="199" t="s">
        <v>188</v>
      </c>
      <c r="D587" s="199" t="s">
        <v>266</v>
      </c>
      <c r="E587" s="200" t="s">
        <v>348</v>
      </c>
      <c r="F587" s="201"/>
      <c r="G587" s="201"/>
      <c r="H587" s="201"/>
      <c r="I587" s="202">
        <v>2</v>
      </c>
      <c r="J587" s="202">
        <v>3</v>
      </c>
      <c r="K587" s="88">
        <v>42156</v>
      </c>
      <c r="L587" s="250"/>
      <c r="M587" s="253"/>
      <c r="U587" s="218">
        <v>2</v>
      </c>
      <c r="V587" s="19" t="s">
        <v>244</v>
      </c>
      <c r="W587" s="19"/>
      <c r="X587" s="241"/>
    </row>
    <row r="588" spans="1:24" ht="30" x14ac:dyDescent="0.25">
      <c r="A588" s="228" t="s">
        <v>141</v>
      </c>
      <c r="B588" s="199" t="s">
        <v>319</v>
      </c>
      <c r="C588" s="199" t="s">
        <v>188</v>
      </c>
      <c r="D588" s="199" t="s">
        <v>295</v>
      </c>
      <c r="E588" s="200" t="s">
        <v>348</v>
      </c>
      <c r="F588" s="201"/>
      <c r="G588" s="201"/>
      <c r="H588" s="201"/>
      <c r="I588" s="202">
        <v>3</v>
      </c>
      <c r="J588" s="202">
        <v>3</v>
      </c>
      <c r="K588" s="88">
        <v>42156</v>
      </c>
      <c r="L588" s="250"/>
      <c r="M588" s="253"/>
      <c r="U588" s="218">
        <v>28</v>
      </c>
      <c r="V588" s="19" t="s">
        <v>244</v>
      </c>
      <c r="W588" s="19"/>
      <c r="X588" s="241"/>
    </row>
    <row r="589" spans="1:24" ht="45" x14ac:dyDescent="0.25">
      <c r="A589" s="228" t="s">
        <v>141</v>
      </c>
      <c r="B589" s="199" t="s">
        <v>319</v>
      </c>
      <c r="C589" s="199" t="s">
        <v>188</v>
      </c>
      <c r="D589" s="199" t="s">
        <v>320</v>
      </c>
      <c r="E589" s="200" t="s">
        <v>348</v>
      </c>
      <c r="F589" s="201"/>
      <c r="G589" s="201"/>
      <c r="H589" s="201"/>
      <c r="I589" s="202">
        <v>3</v>
      </c>
      <c r="J589" s="202">
        <v>3</v>
      </c>
      <c r="K589" s="88">
        <v>42156</v>
      </c>
      <c r="L589" s="250"/>
      <c r="M589" s="253"/>
      <c r="U589" s="218">
        <v>6</v>
      </c>
      <c r="V589" s="19" t="s">
        <v>244</v>
      </c>
      <c r="W589" s="19"/>
      <c r="X589" s="241"/>
    </row>
    <row r="590" spans="1:24" ht="75" x14ac:dyDescent="0.25">
      <c r="A590" s="228" t="s">
        <v>141</v>
      </c>
      <c r="B590" s="199" t="s">
        <v>319</v>
      </c>
      <c r="C590" s="199" t="s">
        <v>188</v>
      </c>
      <c r="D590" s="199" t="s">
        <v>252</v>
      </c>
      <c r="E590" s="200" t="s">
        <v>348</v>
      </c>
      <c r="F590" s="201"/>
      <c r="G590" s="201"/>
      <c r="H590" s="201"/>
      <c r="I590" s="202">
        <v>2</v>
      </c>
      <c r="J590" s="202">
        <v>3</v>
      </c>
      <c r="K590" s="88">
        <v>42156</v>
      </c>
      <c r="L590" s="250"/>
      <c r="M590" s="253"/>
      <c r="U590" s="218">
        <v>3</v>
      </c>
      <c r="V590" s="19" t="s">
        <v>244</v>
      </c>
      <c r="W590" s="19"/>
      <c r="X590" s="241"/>
    </row>
    <row r="591" spans="1:24" ht="30" x14ac:dyDescent="0.25">
      <c r="A591" s="228" t="s">
        <v>141</v>
      </c>
      <c r="B591" s="199" t="s">
        <v>319</v>
      </c>
      <c r="C591" s="199" t="s">
        <v>188</v>
      </c>
      <c r="D591" s="199" t="s">
        <v>263</v>
      </c>
      <c r="E591" s="200" t="s">
        <v>0</v>
      </c>
      <c r="F591" s="201"/>
      <c r="G591" s="201"/>
      <c r="H591" s="201"/>
      <c r="I591" s="202">
        <v>3</v>
      </c>
      <c r="J591" s="202">
        <v>3</v>
      </c>
      <c r="K591" s="88">
        <v>42156</v>
      </c>
      <c r="L591" s="250"/>
      <c r="M591" s="253"/>
      <c r="U591" s="218">
        <v>55</v>
      </c>
      <c r="V591" s="19" t="s">
        <v>244</v>
      </c>
      <c r="W591" s="19"/>
      <c r="X591" s="241"/>
    </row>
    <row r="592" spans="1:24" ht="45" x14ac:dyDescent="0.25">
      <c r="A592" s="228" t="s">
        <v>141</v>
      </c>
      <c r="B592" s="199" t="s">
        <v>319</v>
      </c>
      <c r="C592" s="199" t="s">
        <v>188</v>
      </c>
      <c r="D592" s="199" t="s">
        <v>247</v>
      </c>
      <c r="E592" s="50" t="s">
        <v>34</v>
      </c>
      <c r="F592" s="201"/>
      <c r="G592" s="201"/>
      <c r="H592" s="201"/>
      <c r="I592" s="202">
        <v>2</v>
      </c>
      <c r="J592" s="202">
        <v>3</v>
      </c>
      <c r="K592" s="88">
        <v>42156</v>
      </c>
      <c r="L592" s="250"/>
      <c r="M592" s="253"/>
      <c r="U592" s="218">
        <v>56</v>
      </c>
      <c r="V592" s="19" t="s">
        <v>244</v>
      </c>
      <c r="W592" s="19"/>
      <c r="X592" s="241"/>
    </row>
    <row r="593" spans="1:24" ht="45" x14ac:dyDescent="0.25">
      <c r="A593" s="227" t="s">
        <v>141</v>
      </c>
      <c r="B593" s="167" t="s">
        <v>319</v>
      </c>
      <c r="C593" s="167" t="s">
        <v>188</v>
      </c>
      <c r="D593" s="167" t="s">
        <v>248</v>
      </c>
      <c r="E593" s="50" t="s">
        <v>34</v>
      </c>
      <c r="F593" s="131"/>
      <c r="G593" s="92"/>
      <c r="H593" s="92"/>
      <c r="I593" s="6">
        <v>2</v>
      </c>
      <c r="J593" s="5">
        <v>3</v>
      </c>
      <c r="K593" s="88">
        <v>42156</v>
      </c>
      <c r="L593" s="250"/>
      <c r="M593" s="253"/>
      <c r="U593" s="218">
        <v>56</v>
      </c>
      <c r="V593" s="19" t="s">
        <v>244</v>
      </c>
      <c r="W593" s="19"/>
      <c r="X593" s="241"/>
    </row>
    <row r="594" spans="1:24" ht="45" x14ac:dyDescent="0.25">
      <c r="A594" s="227" t="s">
        <v>141</v>
      </c>
      <c r="B594" s="167" t="s">
        <v>319</v>
      </c>
      <c r="C594" s="167" t="s">
        <v>188</v>
      </c>
      <c r="D594" s="167" t="s">
        <v>260</v>
      </c>
      <c r="E594" s="168" t="s">
        <v>35</v>
      </c>
      <c r="F594" s="93"/>
      <c r="G594" s="93"/>
      <c r="H594" s="93"/>
      <c r="I594" s="6">
        <v>2</v>
      </c>
      <c r="J594" s="5">
        <v>3</v>
      </c>
      <c r="K594" s="88">
        <v>42156</v>
      </c>
      <c r="L594" s="250"/>
      <c r="M594" s="253"/>
      <c r="U594" s="218">
        <v>57</v>
      </c>
      <c r="V594" s="19" t="s">
        <v>244</v>
      </c>
      <c r="W594" s="19"/>
      <c r="X594" s="241"/>
    </row>
    <row r="595" spans="1:24" ht="30" x14ac:dyDescent="0.25">
      <c r="A595" s="227" t="s">
        <v>141</v>
      </c>
      <c r="B595" s="167" t="s">
        <v>319</v>
      </c>
      <c r="C595" s="167" t="s">
        <v>188</v>
      </c>
      <c r="D595" s="167" t="s">
        <v>249</v>
      </c>
      <c r="E595" s="169" t="s">
        <v>36</v>
      </c>
      <c r="F595" s="132"/>
      <c r="G595" s="91"/>
      <c r="H595" s="91"/>
      <c r="I595" s="6">
        <v>2</v>
      </c>
      <c r="J595" s="5">
        <v>3</v>
      </c>
      <c r="K595" s="88">
        <v>42156</v>
      </c>
      <c r="L595" s="250"/>
      <c r="M595" s="253"/>
      <c r="U595" s="218">
        <v>58</v>
      </c>
      <c r="V595" s="19" t="s">
        <v>244</v>
      </c>
      <c r="W595" s="19"/>
      <c r="X595" s="241"/>
    </row>
    <row r="596" spans="1:24" ht="30" x14ac:dyDescent="0.25">
      <c r="A596" s="227" t="s">
        <v>141</v>
      </c>
      <c r="B596" s="167" t="s">
        <v>319</v>
      </c>
      <c r="C596" s="167" t="s">
        <v>188</v>
      </c>
      <c r="D596" s="167" t="s">
        <v>261</v>
      </c>
      <c r="E596" s="50" t="s">
        <v>37</v>
      </c>
      <c r="F596" s="131"/>
      <c r="G596" s="92"/>
      <c r="H596" s="92"/>
      <c r="I596" s="5">
        <v>2</v>
      </c>
      <c r="J596" s="5">
        <v>3</v>
      </c>
      <c r="K596" s="88">
        <v>42156</v>
      </c>
      <c r="L596" s="250"/>
      <c r="M596" s="253"/>
      <c r="U596" s="218">
        <v>59</v>
      </c>
      <c r="V596" s="19" t="s">
        <v>244</v>
      </c>
      <c r="W596" s="19"/>
      <c r="X596" s="241"/>
    </row>
    <row r="597" spans="1:24" ht="45.75" thickBot="1" x14ac:dyDescent="0.3">
      <c r="A597" s="229" t="s">
        <v>141</v>
      </c>
      <c r="B597" s="170" t="s">
        <v>319</v>
      </c>
      <c r="C597" s="170" t="s">
        <v>188</v>
      </c>
      <c r="D597" s="170" t="s">
        <v>262</v>
      </c>
      <c r="E597" s="171" t="s">
        <v>38</v>
      </c>
      <c r="F597" s="133"/>
      <c r="G597" s="101"/>
      <c r="H597" s="101"/>
      <c r="I597" s="33">
        <v>2</v>
      </c>
      <c r="J597" s="33">
        <v>3</v>
      </c>
      <c r="K597" s="89">
        <v>42156</v>
      </c>
      <c r="L597" s="251"/>
      <c r="M597" s="254"/>
      <c r="U597" s="218">
        <v>60</v>
      </c>
      <c r="V597" s="19" t="s">
        <v>244</v>
      </c>
      <c r="W597" s="19"/>
      <c r="X597" s="241"/>
    </row>
    <row r="598" spans="1:24" ht="30.75" thickTop="1" x14ac:dyDescent="0.25">
      <c r="A598" s="231" t="s">
        <v>141</v>
      </c>
      <c r="B598" s="158" t="s">
        <v>318</v>
      </c>
      <c r="C598" s="158" t="s">
        <v>189</v>
      </c>
      <c r="D598" s="158" t="s">
        <v>250</v>
      </c>
      <c r="E598" s="159" t="s">
        <v>348</v>
      </c>
      <c r="F598" s="134"/>
      <c r="G598" s="134"/>
      <c r="H598" s="134"/>
      <c r="I598" s="34">
        <v>3</v>
      </c>
      <c r="J598" s="34">
        <v>4</v>
      </c>
      <c r="K598" s="233">
        <v>42156</v>
      </c>
      <c r="L598" s="249" t="str">
        <f t="shared" ref="L598" si="53">CONCATENATE("Level"," ",MIN(I598:I607))</f>
        <v>Level 1</v>
      </c>
      <c r="M598" s="252" t="str">
        <f t="shared" ref="M598" si="54">CONCATENATE("Level"," ",MIN(J598:J607))</f>
        <v>Level 2</v>
      </c>
      <c r="U598" s="218">
        <v>1</v>
      </c>
      <c r="V598" s="19" t="s">
        <v>244</v>
      </c>
      <c r="W598" s="19"/>
      <c r="X598" s="241"/>
    </row>
    <row r="599" spans="1:24" ht="45" x14ac:dyDescent="0.25">
      <c r="A599" s="230" t="s">
        <v>141</v>
      </c>
      <c r="B599" s="190" t="s">
        <v>318</v>
      </c>
      <c r="C599" s="190" t="s">
        <v>189</v>
      </c>
      <c r="D599" s="190" t="s">
        <v>266</v>
      </c>
      <c r="E599" s="191" t="s">
        <v>348</v>
      </c>
      <c r="F599" s="212"/>
      <c r="G599" s="212"/>
      <c r="H599" s="212"/>
      <c r="I599" s="213">
        <v>2</v>
      </c>
      <c r="J599" s="213">
        <v>3</v>
      </c>
      <c r="K599" s="85">
        <v>42156</v>
      </c>
      <c r="L599" s="250"/>
      <c r="M599" s="253"/>
      <c r="U599" s="218">
        <v>2</v>
      </c>
      <c r="V599" s="19" t="s">
        <v>244</v>
      </c>
      <c r="W599" s="19"/>
      <c r="X599" s="241"/>
    </row>
    <row r="600" spans="1:24" ht="75" x14ac:dyDescent="0.25">
      <c r="A600" s="230" t="s">
        <v>141</v>
      </c>
      <c r="B600" s="190" t="s">
        <v>318</v>
      </c>
      <c r="C600" s="190" t="s">
        <v>189</v>
      </c>
      <c r="D600" s="190" t="s">
        <v>252</v>
      </c>
      <c r="E600" s="191" t="s">
        <v>348</v>
      </c>
      <c r="F600" s="212"/>
      <c r="G600" s="212"/>
      <c r="H600" s="212"/>
      <c r="I600" s="213">
        <v>1</v>
      </c>
      <c r="J600" s="213">
        <v>2</v>
      </c>
      <c r="K600" s="85">
        <v>42156</v>
      </c>
      <c r="L600" s="250"/>
      <c r="M600" s="253"/>
      <c r="U600" s="218">
        <v>3</v>
      </c>
      <c r="V600" s="19" t="s">
        <v>244</v>
      </c>
      <c r="W600" s="19"/>
      <c r="X600" s="241"/>
    </row>
    <row r="601" spans="1:24" ht="30" x14ac:dyDescent="0.25">
      <c r="A601" s="230" t="s">
        <v>141</v>
      </c>
      <c r="B601" s="190" t="s">
        <v>318</v>
      </c>
      <c r="C601" s="190" t="s">
        <v>189</v>
      </c>
      <c r="D601" s="190" t="s">
        <v>263</v>
      </c>
      <c r="E601" s="191" t="s">
        <v>0</v>
      </c>
      <c r="F601" s="212"/>
      <c r="G601" s="212"/>
      <c r="H601" s="212"/>
      <c r="I601" s="213">
        <v>2</v>
      </c>
      <c r="J601" s="213">
        <v>3</v>
      </c>
      <c r="K601" s="85">
        <v>42156</v>
      </c>
      <c r="L601" s="250"/>
      <c r="M601" s="253"/>
      <c r="U601" s="218">
        <v>55</v>
      </c>
      <c r="V601" s="19" t="s">
        <v>244</v>
      </c>
      <c r="W601" s="19"/>
      <c r="X601" s="241"/>
    </row>
    <row r="602" spans="1:24" ht="45" x14ac:dyDescent="0.25">
      <c r="A602" s="224" t="s">
        <v>141</v>
      </c>
      <c r="B602" s="160" t="s">
        <v>318</v>
      </c>
      <c r="C602" s="160" t="s">
        <v>189</v>
      </c>
      <c r="D602" s="160" t="s">
        <v>247</v>
      </c>
      <c r="E602" s="47" t="s">
        <v>34</v>
      </c>
      <c r="F602" s="135"/>
      <c r="G602" s="135"/>
      <c r="H602" s="135"/>
      <c r="I602" s="27">
        <v>2</v>
      </c>
      <c r="J602" s="27">
        <v>3</v>
      </c>
      <c r="K602" s="85">
        <v>42156</v>
      </c>
      <c r="L602" s="250"/>
      <c r="M602" s="253"/>
      <c r="U602" s="218">
        <v>56</v>
      </c>
      <c r="V602" s="19" t="s">
        <v>244</v>
      </c>
      <c r="W602" s="19"/>
      <c r="X602" s="241"/>
    </row>
    <row r="603" spans="1:24" ht="45" x14ac:dyDescent="0.25">
      <c r="A603" s="224" t="s">
        <v>141</v>
      </c>
      <c r="B603" s="160" t="s">
        <v>318</v>
      </c>
      <c r="C603" s="160" t="s">
        <v>189</v>
      </c>
      <c r="D603" s="160" t="s">
        <v>248</v>
      </c>
      <c r="E603" s="47" t="s">
        <v>34</v>
      </c>
      <c r="F603" s="135"/>
      <c r="G603" s="135"/>
      <c r="H603" s="135"/>
      <c r="I603" s="27">
        <v>2</v>
      </c>
      <c r="J603" s="27">
        <v>3</v>
      </c>
      <c r="K603" s="85">
        <v>42156</v>
      </c>
      <c r="L603" s="250"/>
      <c r="M603" s="253"/>
      <c r="U603" s="218">
        <v>56</v>
      </c>
      <c r="V603" s="19" t="s">
        <v>244</v>
      </c>
      <c r="W603" s="19"/>
      <c r="X603" s="241"/>
    </row>
    <row r="604" spans="1:24" ht="45" x14ac:dyDescent="0.25">
      <c r="A604" s="224" t="s">
        <v>141</v>
      </c>
      <c r="B604" s="160" t="s">
        <v>318</v>
      </c>
      <c r="C604" s="160" t="s">
        <v>189</v>
      </c>
      <c r="D604" s="160" t="s">
        <v>260</v>
      </c>
      <c r="E604" s="161" t="s">
        <v>35</v>
      </c>
      <c r="F604" s="135"/>
      <c r="G604" s="135"/>
      <c r="H604" s="135"/>
      <c r="I604" s="27">
        <v>2</v>
      </c>
      <c r="J604" s="27">
        <v>3</v>
      </c>
      <c r="K604" s="85">
        <v>42156</v>
      </c>
      <c r="L604" s="250"/>
      <c r="M604" s="253"/>
      <c r="U604" s="218">
        <v>57</v>
      </c>
      <c r="V604" s="19" t="s">
        <v>244</v>
      </c>
      <c r="W604" s="19"/>
      <c r="X604" s="241"/>
    </row>
    <row r="605" spans="1:24" ht="30" x14ac:dyDescent="0.25">
      <c r="A605" s="224" t="s">
        <v>141</v>
      </c>
      <c r="B605" s="160" t="s">
        <v>318</v>
      </c>
      <c r="C605" s="160" t="s">
        <v>189</v>
      </c>
      <c r="D605" s="160" t="s">
        <v>249</v>
      </c>
      <c r="E605" s="162" t="s">
        <v>36</v>
      </c>
      <c r="F605" s="135"/>
      <c r="G605" s="135"/>
      <c r="H605" s="135"/>
      <c r="I605" s="27">
        <v>2</v>
      </c>
      <c r="J605" s="27">
        <v>3</v>
      </c>
      <c r="K605" s="85">
        <v>42156</v>
      </c>
      <c r="L605" s="250"/>
      <c r="M605" s="253"/>
      <c r="U605" s="218">
        <v>58</v>
      </c>
      <c r="V605" s="19" t="s">
        <v>244</v>
      </c>
      <c r="W605" s="19"/>
      <c r="X605" s="241"/>
    </row>
    <row r="606" spans="1:24" ht="30" x14ac:dyDescent="0.25">
      <c r="A606" s="224" t="s">
        <v>141</v>
      </c>
      <c r="B606" s="160" t="s">
        <v>318</v>
      </c>
      <c r="C606" s="160" t="s">
        <v>189</v>
      </c>
      <c r="D606" s="160" t="s">
        <v>261</v>
      </c>
      <c r="E606" s="47" t="s">
        <v>37</v>
      </c>
      <c r="F606" s="135"/>
      <c r="G606" s="135"/>
      <c r="H606" s="135"/>
      <c r="I606" s="27">
        <v>2</v>
      </c>
      <c r="J606" s="27">
        <v>3</v>
      </c>
      <c r="K606" s="85">
        <v>42156</v>
      </c>
      <c r="L606" s="250"/>
      <c r="M606" s="253"/>
      <c r="U606" s="218">
        <v>59</v>
      </c>
      <c r="V606" s="19" t="s">
        <v>244</v>
      </c>
      <c r="W606" s="19"/>
      <c r="X606" s="241"/>
    </row>
    <row r="607" spans="1:24" ht="45.75" thickBot="1" x14ac:dyDescent="0.3">
      <c r="A607" s="225" t="s">
        <v>141</v>
      </c>
      <c r="B607" s="163" t="s">
        <v>318</v>
      </c>
      <c r="C607" s="163" t="s">
        <v>189</v>
      </c>
      <c r="D607" s="163" t="s">
        <v>262</v>
      </c>
      <c r="E607" s="164" t="s">
        <v>38</v>
      </c>
      <c r="F607" s="136"/>
      <c r="G607" s="136"/>
      <c r="H607" s="136"/>
      <c r="I607" s="35">
        <v>2</v>
      </c>
      <c r="J607" s="35">
        <v>2</v>
      </c>
      <c r="K607" s="86">
        <v>42156</v>
      </c>
      <c r="L607" s="251"/>
      <c r="M607" s="254"/>
      <c r="U607" s="218">
        <v>60</v>
      </c>
      <c r="V607" s="19" t="s">
        <v>244</v>
      </c>
      <c r="W607" s="19"/>
      <c r="X607" s="241"/>
    </row>
    <row r="608" spans="1:24" ht="30.75" thickTop="1" x14ac:dyDescent="0.25">
      <c r="A608" s="226" t="s">
        <v>141</v>
      </c>
      <c r="B608" s="165" t="s">
        <v>318</v>
      </c>
      <c r="C608" s="165" t="s">
        <v>190</v>
      </c>
      <c r="D608" s="165" t="s">
        <v>250</v>
      </c>
      <c r="E608" s="166" t="s">
        <v>348</v>
      </c>
      <c r="F608" s="140"/>
      <c r="G608" s="140"/>
      <c r="H608" s="140"/>
      <c r="I608" s="38">
        <v>2</v>
      </c>
      <c r="J608" s="38">
        <v>2</v>
      </c>
      <c r="K608" s="203">
        <v>42156</v>
      </c>
      <c r="L608" s="249" t="str">
        <f t="shared" ref="L608" si="55">CONCATENATE("Level"," ",MIN(I608:I618))</f>
        <v>Level 1</v>
      </c>
      <c r="M608" s="252" t="str">
        <f t="shared" ref="M608" si="56">CONCATENATE("Level"," ",MIN(J608:J618))</f>
        <v>Level 2</v>
      </c>
      <c r="U608" s="218">
        <v>1</v>
      </c>
      <c r="V608" s="19" t="s">
        <v>244</v>
      </c>
      <c r="W608" s="19"/>
      <c r="X608" s="241"/>
    </row>
    <row r="609" spans="1:24" ht="45" x14ac:dyDescent="0.25">
      <c r="A609" s="228" t="s">
        <v>141</v>
      </c>
      <c r="B609" s="199" t="s">
        <v>318</v>
      </c>
      <c r="C609" s="199" t="s">
        <v>190</v>
      </c>
      <c r="D609" s="199" t="s">
        <v>266</v>
      </c>
      <c r="E609" s="200" t="s">
        <v>348</v>
      </c>
      <c r="F609" s="214"/>
      <c r="G609" s="214"/>
      <c r="H609" s="214"/>
      <c r="I609" s="215">
        <v>2</v>
      </c>
      <c r="J609" s="215">
        <v>2</v>
      </c>
      <c r="K609" s="88">
        <v>42156</v>
      </c>
      <c r="L609" s="250"/>
      <c r="M609" s="253"/>
      <c r="U609" s="218">
        <v>2</v>
      </c>
      <c r="V609" s="19" t="s">
        <v>244</v>
      </c>
      <c r="W609" s="19"/>
      <c r="X609" s="241"/>
    </row>
    <row r="610" spans="1:24" ht="30" x14ac:dyDescent="0.25">
      <c r="A610" s="228" t="s">
        <v>141</v>
      </c>
      <c r="B610" s="199" t="s">
        <v>318</v>
      </c>
      <c r="C610" s="199" t="s">
        <v>190</v>
      </c>
      <c r="D610" s="199" t="s">
        <v>295</v>
      </c>
      <c r="E610" s="200" t="s">
        <v>348</v>
      </c>
      <c r="F610" s="214"/>
      <c r="G610" s="214"/>
      <c r="H610" s="214"/>
      <c r="I610" s="215">
        <v>2</v>
      </c>
      <c r="J610" s="215">
        <v>3</v>
      </c>
      <c r="K610" s="88">
        <v>42156</v>
      </c>
      <c r="L610" s="250"/>
      <c r="M610" s="253"/>
      <c r="U610" s="218">
        <v>28</v>
      </c>
      <c r="V610" s="19" t="s">
        <v>244</v>
      </c>
      <c r="W610" s="19"/>
      <c r="X610" s="241"/>
    </row>
    <row r="611" spans="1:24" ht="75" x14ac:dyDescent="0.25">
      <c r="A611" s="228" t="s">
        <v>141</v>
      </c>
      <c r="B611" s="199" t="s">
        <v>318</v>
      </c>
      <c r="C611" s="199" t="s">
        <v>190</v>
      </c>
      <c r="D611" s="199" t="s">
        <v>252</v>
      </c>
      <c r="E611" s="200" t="s">
        <v>348</v>
      </c>
      <c r="F611" s="214"/>
      <c r="G611" s="214"/>
      <c r="H611" s="214"/>
      <c r="I611" s="215">
        <v>1</v>
      </c>
      <c r="J611" s="215">
        <v>2</v>
      </c>
      <c r="K611" s="88">
        <v>42156</v>
      </c>
      <c r="L611" s="250"/>
      <c r="M611" s="253"/>
      <c r="U611" s="218">
        <v>3</v>
      </c>
      <c r="V611" s="19" t="s">
        <v>244</v>
      </c>
      <c r="W611" s="19"/>
      <c r="X611" s="241"/>
    </row>
    <row r="612" spans="1:24" ht="30" x14ac:dyDescent="0.25">
      <c r="A612" s="228" t="s">
        <v>141</v>
      </c>
      <c r="B612" s="199" t="s">
        <v>318</v>
      </c>
      <c r="C612" s="199" t="s">
        <v>190</v>
      </c>
      <c r="D612" s="199" t="s">
        <v>263</v>
      </c>
      <c r="E612" s="200" t="s">
        <v>0</v>
      </c>
      <c r="F612" s="214"/>
      <c r="G612" s="214"/>
      <c r="H612" s="214"/>
      <c r="I612" s="215">
        <v>1</v>
      </c>
      <c r="J612" s="215">
        <v>2</v>
      </c>
      <c r="K612" s="88">
        <v>42156</v>
      </c>
      <c r="L612" s="250"/>
      <c r="M612" s="253"/>
      <c r="U612" s="218">
        <v>55</v>
      </c>
      <c r="V612" s="19" t="s">
        <v>244</v>
      </c>
      <c r="W612" s="19"/>
      <c r="X612" s="241"/>
    </row>
    <row r="613" spans="1:24" ht="45" x14ac:dyDescent="0.25">
      <c r="A613" s="227" t="s">
        <v>141</v>
      </c>
      <c r="B613" s="167" t="s">
        <v>318</v>
      </c>
      <c r="C613" s="167" t="s">
        <v>190</v>
      </c>
      <c r="D613" s="167" t="s">
        <v>247</v>
      </c>
      <c r="E613" s="50" t="s">
        <v>34</v>
      </c>
      <c r="F613" s="141"/>
      <c r="G613" s="141"/>
      <c r="H613" s="141"/>
      <c r="I613" s="28">
        <v>2</v>
      </c>
      <c r="J613" s="28">
        <v>3</v>
      </c>
      <c r="K613" s="88">
        <v>42156</v>
      </c>
      <c r="L613" s="250"/>
      <c r="M613" s="253"/>
      <c r="U613" s="218">
        <v>56</v>
      </c>
      <c r="V613" s="19" t="s">
        <v>244</v>
      </c>
      <c r="W613" s="19"/>
      <c r="X613" s="241"/>
    </row>
    <row r="614" spans="1:24" ht="45" x14ac:dyDescent="0.25">
      <c r="A614" s="227" t="s">
        <v>141</v>
      </c>
      <c r="B614" s="167" t="s">
        <v>318</v>
      </c>
      <c r="C614" s="167" t="s">
        <v>190</v>
      </c>
      <c r="D614" s="167" t="s">
        <v>248</v>
      </c>
      <c r="E614" s="50" t="s">
        <v>34</v>
      </c>
      <c r="F614" s="141"/>
      <c r="G614" s="141"/>
      <c r="H614" s="141"/>
      <c r="I614" s="28">
        <v>2</v>
      </c>
      <c r="J614" s="28">
        <v>3</v>
      </c>
      <c r="K614" s="88">
        <v>42156</v>
      </c>
      <c r="L614" s="250"/>
      <c r="M614" s="253"/>
      <c r="U614" s="218">
        <v>56</v>
      </c>
      <c r="V614" s="19" t="s">
        <v>244</v>
      </c>
      <c r="W614" s="19"/>
      <c r="X614" s="241"/>
    </row>
    <row r="615" spans="1:24" ht="45" x14ac:dyDescent="0.25">
      <c r="A615" s="227" t="s">
        <v>141</v>
      </c>
      <c r="B615" s="167" t="s">
        <v>318</v>
      </c>
      <c r="C615" s="167" t="s">
        <v>190</v>
      </c>
      <c r="D615" s="167" t="s">
        <v>260</v>
      </c>
      <c r="E615" s="168" t="s">
        <v>35</v>
      </c>
      <c r="F615" s="141"/>
      <c r="G615" s="141"/>
      <c r="H615" s="141"/>
      <c r="I615" s="28">
        <v>2</v>
      </c>
      <c r="J615" s="28">
        <v>3</v>
      </c>
      <c r="K615" s="88">
        <v>42156</v>
      </c>
      <c r="L615" s="250"/>
      <c r="M615" s="253"/>
      <c r="U615" s="218">
        <v>57</v>
      </c>
      <c r="V615" s="19" t="s">
        <v>244</v>
      </c>
      <c r="W615" s="19"/>
      <c r="X615" s="241"/>
    </row>
    <row r="616" spans="1:24" ht="30" x14ac:dyDescent="0.25">
      <c r="A616" s="227" t="s">
        <v>141</v>
      </c>
      <c r="B616" s="167" t="s">
        <v>318</v>
      </c>
      <c r="C616" s="167" t="s">
        <v>190</v>
      </c>
      <c r="D616" s="167" t="s">
        <v>249</v>
      </c>
      <c r="E616" s="169" t="s">
        <v>36</v>
      </c>
      <c r="F616" s="141"/>
      <c r="G616" s="141"/>
      <c r="H616" s="141"/>
      <c r="I616" s="28">
        <v>2</v>
      </c>
      <c r="J616" s="28">
        <v>3</v>
      </c>
      <c r="K616" s="88">
        <v>42156</v>
      </c>
      <c r="L616" s="250"/>
      <c r="M616" s="253"/>
      <c r="U616" s="218">
        <v>58</v>
      </c>
      <c r="V616" s="19" t="s">
        <v>244</v>
      </c>
      <c r="W616" s="19"/>
      <c r="X616" s="241"/>
    </row>
    <row r="617" spans="1:24" ht="30" x14ac:dyDescent="0.25">
      <c r="A617" s="227" t="s">
        <v>141</v>
      </c>
      <c r="B617" s="167" t="s">
        <v>318</v>
      </c>
      <c r="C617" s="167" t="s">
        <v>190</v>
      </c>
      <c r="D617" s="167" t="s">
        <v>261</v>
      </c>
      <c r="E617" s="50" t="s">
        <v>37</v>
      </c>
      <c r="F617" s="141"/>
      <c r="G617" s="141"/>
      <c r="H617" s="141"/>
      <c r="I617" s="28">
        <v>2</v>
      </c>
      <c r="J617" s="28">
        <v>3</v>
      </c>
      <c r="K617" s="88">
        <v>42156</v>
      </c>
      <c r="L617" s="250"/>
      <c r="M617" s="253"/>
      <c r="U617" s="218">
        <v>59</v>
      </c>
      <c r="V617" s="19" t="s">
        <v>244</v>
      </c>
      <c r="W617" s="19"/>
      <c r="X617" s="241"/>
    </row>
    <row r="618" spans="1:24" ht="45.75" thickBot="1" x14ac:dyDescent="0.3">
      <c r="A618" s="229" t="s">
        <v>141</v>
      </c>
      <c r="B618" s="170" t="s">
        <v>318</v>
      </c>
      <c r="C618" s="170" t="s">
        <v>190</v>
      </c>
      <c r="D618" s="170" t="s">
        <v>262</v>
      </c>
      <c r="E618" s="171" t="s">
        <v>38</v>
      </c>
      <c r="F618" s="142"/>
      <c r="G618" s="142"/>
      <c r="H618" s="142"/>
      <c r="I618" s="39">
        <v>2</v>
      </c>
      <c r="J618" s="39">
        <v>2</v>
      </c>
      <c r="K618" s="89">
        <v>42156</v>
      </c>
      <c r="L618" s="251"/>
      <c r="M618" s="254"/>
      <c r="U618" s="218">
        <v>60</v>
      </c>
      <c r="V618" s="19" t="s">
        <v>244</v>
      </c>
      <c r="W618" s="19"/>
      <c r="X618" s="241"/>
    </row>
    <row r="619" spans="1:24" ht="30.75" thickTop="1" x14ac:dyDescent="0.25">
      <c r="A619" s="231" t="s">
        <v>141</v>
      </c>
      <c r="B619" s="158" t="s">
        <v>319</v>
      </c>
      <c r="C619" s="158" t="s">
        <v>191</v>
      </c>
      <c r="D619" s="158" t="s">
        <v>250</v>
      </c>
      <c r="E619" s="159" t="s">
        <v>348</v>
      </c>
      <c r="F619" s="134"/>
      <c r="G619" s="134"/>
      <c r="H619" s="134"/>
      <c r="I619" s="34">
        <v>2</v>
      </c>
      <c r="J619" s="34">
        <v>3</v>
      </c>
      <c r="K619" s="233">
        <v>42156</v>
      </c>
      <c r="L619" s="249" t="str">
        <f t="shared" ref="L619" si="57">CONCATENATE("Level"," ",MIN(I619:I633))</f>
        <v>Level 1</v>
      </c>
      <c r="M619" s="252" t="str">
        <f t="shared" ref="M619" si="58">CONCATENATE("Level"," ",MIN(J619:J633))</f>
        <v>Level 1</v>
      </c>
      <c r="U619" s="218">
        <v>1</v>
      </c>
      <c r="V619" s="19" t="s">
        <v>244</v>
      </c>
      <c r="W619" s="19"/>
      <c r="X619" s="241"/>
    </row>
    <row r="620" spans="1:24" ht="45" x14ac:dyDescent="0.25">
      <c r="A620" s="230" t="s">
        <v>141</v>
      </c>
      <c r="B620" s="190" t="s">
        <v>319</v>
      </c>
      <c r="C620" s="190" t="s">
        <v>191</v>
      </c>
      <c r="D620" s="190" t="s">
        <v>321</v>
      </c>
      <c r="E620" s="191" t="s">
        <v>348</v>
      </c>
      <c r="F620" s="212"/>
      <c r="G620" s="212"/>
      <c r="H620" s="212"/>
      <c r="I620" s="213">
        <v>1</v>
      </c>
      <c r="J620" s="213">
        <v>2</v>
      </c>
      <c r="K620" s="85">
        <v>42156</v>
      </c>
      <c r="L620" s="250"/>
      <c r="M620" s="253"/>
      <c r="U620" s="218">
        <v>39</v>
      </c>
      <c r="V620" s="19" t="s">
        <v>244</v>
      </c>
      <c r="W620" s="19"/>
      <c r="X620" s="241"/>
    </row>
    <row r="621" spans="1:24" ht="60" x14ac:dyDescent="0.25">
      <c r="A621" s="230" t="s">
        <v>141</v>
      </c>
      <c r="B621" s="190" t="s">
        <v>319</v>
      </c>
      <c r="C621" s="190" t="s">
        <v>191</v>
      </c>
      <c r="D621" s="190" t="s">
        <v>322</v>
      </c>
      <c r="E621" s="191" t="s">
        <v>348</v>
      </c>
      <c r="F621" s="212"/>
      <c r="G621" s="212"/>
      <c r="H621" s="212"/>
      <c r="I621" s="213">
        <v>1</v>
      </c>
      <c r="J621" s="213">
        <v>2</v>
      </c>
      <c r="K621" s="85">
        <v>42156</v>
      </c>
      <c r="L621" s="250"/>
      <c r="M621" s="253"/>
      <c r="U621" s="218">
        <v>40</v>
      </c>
      <c r="V621" s="19" t="s">
        <v>244</v>
      </c>
      <c r="W621" s="19"/>
      <c r="X621" s="241"/>
    </row>
    <row r="622" spans="1:24" ht="60" x14ac:dyDescent="0.25">
      <c r="A622" s="230" t="s">
        <v>141</v>
      </c>
      <c r="B622" s="190" t="s">
        <v>319</v>
      </c>
      <c r="C622" s="190" t="s">
        <v>191</v>
      </c>
      <c r="D622" s="190" t="s">
        <v>323</v>
      </c>
      <c r="E622" s="191" t="s">
        <v>348</v>
      </c>
      <c r="F622" s="212"/>
      <c r="G622" s="212"/>
      <c r="H622" s="212"/>
      <c r="I622" s="213">
        <v>1</v>
      </c>
      <c r="J622" s="213">
        <v>2</v>
      </c>
      <c r="K622" s="85">
        <v>42156</v>
      </c>
      <c r="L622" s="250"/>
      <c r="M622" s="253"/>
      <c r="U622" s="218">
        <v>41</v>
      </c>
      <c r="V622" s="19" t="s">
        <v>244</v>
      </c>
      <c r="W622" s="19"/>
      <c r="X622" s="241"/>
    </row>
    <row r="623" spans="1:24" ht="60" x14ac:dyDescent="0.25">
      <c r="A623" s="230" t="s">
        <v>141</v>
      </c>
      <c r="B623" s="190" t="s">
        <v>319</v>
      </c>
      <c r="C623" s="190" t="s">
        <v>191</v>
      </c>
      <c r="D623" s="190" t="s">
        <v>324</v>
      </c>
      <c r="E623" s="191" t="s">
        <v>348</v>
      </c>
      <c r="F623" s="212"/>
      <c r="G623" s="212"/>
      <c r="H623" s="212"/>
      <c r="I623" s="213">
        <v>1</v>
      </c>
      <c r="J623" s="213">
        <v>2</v>
      </c>
      <c r="K623" s="85">
        <v>42156</v>
      </c>
      <c r="L623" s="250"/>
      <c r="M623" s="253"/>
      <c r="U623" s="218">
        <v>42</v>
      </c>
      <c r="V623" s="19" t="s">
        <v>244</v>
      </c>
      <c r="W623" s="19"/>
      <c r="X623" s="241"/>
    </row>
    <row r="624" spans="1:24" ht="120" x14ac:dyDescent="0.25">
      <c r="A624" s="230" t="s">
        <v>141</v>
      </c>
      <c r="B624" s="190" t="s">
        <v>319</v>
      </c>
      <c r="C624" s="190" t="s">
        <v>191</v>
      </c>
      <c r="D624" s="190" t="s">
        <v>325</v>
      </c>
      <c r="E624" s="191" t="s">
        <v>348</v>
      </c>
      <c r="F624" s="212"/>
      <c r="G624" s="212"/>
      <c r="H624" s="212"/>
      <c r="I624" s="213">
        <v>1</v>
      </c>
      <c r="J624" s="213">
        <v>2</v>
      </c>
      <c r="K624" s="85">
        <v>42156</v>
      </c>
      <c r="L624" s="250"/>
      <c r="M624" s="253"/>
      <c r="U624" s="218">
        <v>43</v>
      </c>
      <c r="V624" s="19" t="s">
        <v>244</v>
      </c>
      <c r="W624" s="19"/>
      <c r="X624" s="241"/>
    </row>
    <row r="625" spans="1:24" ht="45" x14ac:dyDescent="0.25">
      <c r="A625" s="230" t="s">
        <v>141</v>
      </c>
      <c r="B625" s="190" t="s">
        <v>319</v>
      </c>
      <c r="C625" s="190" t="s">
        <v>191</v>
      </c>
      <c r="D625" s="190" t="s">
        <v>266</v>
      </c>
      <c r="E625" s="191" t="s">
        <v>348</v>
      </c>
      <c r="F625" s="212"/>
      <c r="G625" s="212"/>
      <c r="H625" s="212"/>
      <c r="I625" s="213">
        <v>2</v>
      </c>
      <c r="J625" s="213">
        <v>2</v>
      </c>
      <c r="K625" s="85">
        <v>42156</v>
      </c>
      <c r="L625" s="250"/>
      <c r="M625" s="253"/>
      <c r="U625" s="218">
        <v>2</v>
      </c>
      <c r="V625" s="19" t="s">
        <v>244</v>
      </c>
      <c r="W625" s="19"/>
      <c r="X625" s="241"/>
    </row>
    <row r="626" spans="1:24" ht="75" x14ac:dyDescent="0.25">
      <c r="A626" s="230" t="s">
        <v>141</v>
      </c>
      <c r="B626" s="190" t="s">
        <v>319</v>
      </c>
      <c r="C626" s="190" t="s">
        <v>191</v>
      </c>
      <c r="D626" s="190" t="s">
        <v>252</v>
      </c>
      <c r="E626" s="191" t="s">
        <v>348</v>
      </c>
      <c r="F626" s="212"/>
      <c r="G626" s="212"/>
      <c r="H626" s="212"/>
      <c r="I626" s="213">
        <v>1</v>
      </c>
      <c r="J626" s="213">
        <v>2</v>
      </c>
      <c r="K626" s="85">
        <v>42156</v>
      </c>
      <c r="L626" s="250"/>
      <c r="M626" s="253"/>
      <c r="U626" s="218">
        <v>3</v>
      </c>
      <c r="V626" s="19" t="s">
        <v>244</v>
      </c>
      <c r="W626" s="19"/>
      <c r="X626" s="241"/>
    </row>
    <row r="627" spans="1:24" ht="30" x14ac:dyDescent="0.25">
      <c r="A627" s="230" t="s">
        <v>141</v>
      </c>
      <c r="B627" s="190" t="s">
        <v>319</v>
      </c>
      <c r="C627" s="190" t="s">
        <v>191</v>
      </c>
      <c r="D627" s="190" t="s">
        <v>263</v>
      </c>
      <c r="E627" s="191" t="s">
        <v>310</v>
      </c>
      <c r="F627" s="212"/>
      <c r="G627" s="212"/>
      <c r="H627" s="212"/>
      <c r="I627" s="213">
        <v>2</v>
      </c>
      <c r="J627" s="213">
        <v>3</v>
      </c>
      <c r="K627" s="85">
        <v>42156</v>
      </c>
      <c r="L627" s="250"/>
      <c r="M627" s="253"/>
      <c r="U627" s="218">
        <v>55</v>
      </c>
      <c r="V627" s="19" t="s">
        <v>244</v>
      </c>
      <c r="W627" s="19"/>
      <c r="X627" s="241"/>
    </row>
    <row r="628" spans="1:24" ht="45" x14ac:dyDescent="0.25">
      <c r="A628" s="224" t="s">
        <v>141</v>
      </c>
      <c r="B628" s="160" t="s">
        <v>319</v>
      </c>
      <c r="C628" s="160" t="s">
        <v>191</v>
      </c>
      <c r="D628" s="190" t="s">
        <v>247</v>
      </c>
      <c r="E628" s="47" t="s">
        <v>34</v>
      </c>
      <c r="F628" s="212"/>
      <c r="G628" s="212"/>
      <c r="H628" s="212"/>
      <c r="I628" s="213">
        <v>1</v>
      </c>
      <c r="J628" s="213">
        <v>1</v>
      </c>
      <c r="K628" s="85">
        <v>42156</v>
      </c>
      <c r="L628" s="250"/>
      <c r="M628" s="253"/>
      <c r="U628" s="218">
        <v>56</v>
      </c>
      <c r="V628" s="19" t="s">
        <v>244</v>
      </c>
      <c r="W628" s="19"/>
      <c r="X628" s="241"/>
    </row>
    <row r="629" spans="1:24" ht="45" x14ac:dyDescent="0.25">
      <c r="A629" s="224" t="s">
        <v>141</v>
      </c>
      <c r="B629" s="160" t="s">
        <v>319</v>
      </c>
      <c r="C629" s="160" t="s">
        <v>191</v>
      </c>
      <c r="D629" s="160" t="s">
        <v>248</v>
      </c>
      <c r="E629" s="47" t="s">
        <v>34</v>
      </c>
      <c r="F629" s="135"/>
      <c r="G629" s="135"/>
      <c r="H629" s="135"/>
      <c r="I629" s="27">
        <v>1</v>
      </c>
      <c r="J629" s="27">
        <v>2</v>
      </c>
      <c r="K629" s="85">
        <v>42156</v>
      </c>
      <c r="L629" s="250"/>
      <c r="M629" s="253"/>
      <c r="U629" s="218">
        <v>56</v>
      </c>
      <c r="V629" s="19" t="s">
        <v>244</v>
      </c>
      <c r="W629" s="19"/>
      <c r="X629" s="241"/>
    </row>
    <row r="630" spans="1:24" ht="45" x14ac:dyDescent="0.25">
      <c r="A630" s="224" t="s">
        <v>141</v>
      </c>
      <c r="B630" s="160" t="s">
        <v>319</v>
      </c>
      <c r="C630" s="160" t="s">
        <v>191</v>
      </c>
      <c r="D630" s="160" t="s">
        <v>260</v>
      </c>
      <c r="E630" s="161" t="s">
        <v>35</v>
      </c>
      <c r="F630" s="135"/>
      <c r="G630" s="135"/>
      <c r="H630" s="135"/>
      <c r="I630" s="27">
        <v>2</v>
      </c>
      <c r="J630" s="27">
        <v>2</v>
      </c>
      <c r="K630" s="85">
        <v>42156</v>
      </c>
      <c r="L630" s="250"/>
      <c r="M630" s="253"/>
      <c r="U630" s="218">
        <v>57</v>
      </c>
      <c r="V630" s="19" t="s">
        <v>244</v>
      </c>
      <c r="W630" s="19"/>
      <c r="X630" s="241"/>
    </row>
    <row r="631" spans="1:24" ht="30" x14ac:dyDescent="0.25">
      <c r="A631" s="224" t="s">
        <v>141</v>
      </c>
      <c r="B631" s="160" t="s">
        <v>319</v>
      </c>
      <c r="C631" s="160" t="s">
        <v>191</v>
      </c>
      <c r="D631" s="160" t="s">
        <v>249</v>
      </c>
      <c r="E631" s="162" t="s">
        <v>36</v>
      </c>
      <c r="F631" s="135"/>
      <c r="G631" s="135"/>
      <c r="H631" s="135"/>
      <c r="I631" s="27">
        <v>2</v>
      </c>
      <c r="J631" s="27">
        <v>2</v>
      </c>
      <c r="K631" s="85">
        <v>42156</v>
      </c>
      <c r="L631" s="250"/>
      <c r="M631" s="253"/>
      <c r="U631" s="218">
        <v>58</v>
      </c>
      <c r="V631" s="19" t="s">
        <v>244</v>
      </c>
      <c r="W631" s="19"/>
      <c r="X631" s="241"/>
    </row>
    <row r="632" spans="1:24" ht="30" x14ac:dyDescent="0.25">
      <c r="A632" s="224" t="s">
        <v>141</v>
      </c>
      <c r="B632" s="160" t="s">
        <v>319</v>
      </c>
      <c r="C632" s="160" t="s">
        <v>191</v>
      </c>
      <c r="D632" s="160" t="s">
        <v>261</v>
      </c>
      <c r="E632" s="47" t="s">
        <v>37</v>
      </c>
      <c r="F632" s="135"/>
      <c r="G632" s="135"/>
      <c r="H632" s="135"/>
      <c r="I632" s="27">
        <v>2</v>
      </c>
      <c r="J632" s="27">
        <v>2</v>
      </c>
      <c r="K632" s="85">
        <v>42156</v>
      </c>
      <c r="L632" s="250"/>
      <c r="M632" s="253"/>
      <c r="U632" s="218">
        <v>59</v>
      </c>
      <c r="V632" s="19" t="s">
        <v>244</v>
      </c>
      <c r="W632" s="19"/>
      <c r="X632" s="241"/>
    </row>
    <row r="633" spans="1:24" ht="45.75" thickBot="1" x14ac:dyDescent="0.3">
      <c r="A633" s="225" t="s">
        <v>141</v>
      </c>
      <c r="B633" s="163" t="s">
        <v>319</v>
      </c>
      <c r="C633" s="163" t="s">
        <v>191</v>
      </c>
      <c r="D633" s="163" t="s">
        <v>262</v>
      </c>
      <c r="E633" s="164" t="s">
        <v>38</v>
      </c>
      <c r="F633" s="136"/>
      <c r="G633" s="136"/>
      <c r="H633" s="136"/>
      <c r="I633" s="35">
        <v>2</v>
      </c>
      <c r="J633" s="35">
        <v>2</v>
      </c>
      <c r="K633" s="86">
        <v>42156</v>
      </c>
      <c r="L633" s="251"/>
      <c r="M633" s="254"/>
      <c r="U633" s="218">
        <v>60</v>
      </c>
      <c r="V633" s="19" t="s">
        <v>244</v>
      </c>
      <c r="W633" s="19"/>
      <c r="X633" s="241"/>
    </row>
    <row r="634" spans="1:24" ht="30.75" thickTop="1" x14ac:dyDescent="0.25">
      <c r="A634" s="226" t="s">
        <v>141</v>
      </c>
      <c r="B634" s="165" t="s">
        <v>318</v>
      </c>
      <c r="C634" s="165" t="s">
        <v>192</v>
      </c>
      <c r="D634" s="165" t="s">
        <v>250</v>
      </c>
      <c r="E634" s="166" t="s">
        <v>348</v>
      </c>
      <c r="F634" s="140"/>
      <c r="G634" s="140"/>
      <c r="H634" s="140"/>
      <c r="I634" s="38" t="s">
        <v>210</v>
      </c>
      <c r="J634" s="38" t="s">
        <v>210</v>
      </c>
      <c r="K634" s="203">
        <v>42156</v>
      </c>
      <c r="L634" s="249" t="str">
        <f t="shared" ref="L634" si="59">CONCATENATE("Level"," ",MIN(I634:I643))</f>
        <v>Level 0</v>
      </c>
      <c r="M634" s="252" t="str">
        <f t="shared" ref="M634" si="60">CONCATENATE("Level"," ",MIN(J634:J643))</f>
        <v>Level 0</v>
      </c>
      <c r="U634" s="218">
        <v>1</v>
      </c>
      <c r="V634" s="19" t="s">
        <v>244</v>
      </c>
      <c r="W634" s="19"/>
      <c r="X634" s="241"/>
    </row>
    <row r="635" spans="1:24" ht="45" x14ac:dyDescent="0.25">
      <c r="A635" s="228" t="s">
        <v>141</v>
      </c>
      <c r="B635" s="199" t="s">
        <v>318</v>
      </c>
      <c r="C635" s="199" t="s">
        <v>192</v>
      </c>
      <c r="D635" s="199" t="s">
        <v>266</v>
      </c>
      <c r="E635" s="200" t="s">
        <v>348</v>
      </c>
      <c r="F635" s="214"/>
      <c r="G635" s="214"/>
      <c r="H635" s="214"/>
      <c r="I635" s="215" t="s">
        <v>210</v>
      </c>
      <c r="J635" s="215" t="s">
        <v>210</v>
      </c>
      <c r="K635" s="88">
        <v>42156</v>
      </c>
      <c r="L635" s="250"/>
      <c r="M635" s="253"/>
      <c r="U635" s="218">
        <v>2</v>
      </c>
      <c r="V635" s="19" t="s">
        <v>244</v>
      </c>
      <c r="W635" s="19"/>
      <c r="X635" s="241"/>
    </row>
    <row r="636" spans="1:24" ht="75" x14ac:dyDescent="0.25">
      <c r="A636" s="228" t="s">
        <v>141</v>
      </c>
      <c r="B636" s="199" t="s">
        <v>318</v>
      </c>
      <c r="C636" s="199" t="s">
        <v>192</v>
      </c>
      <c r="D636" s="199" t="s">
        <v>252</v>
      </c>
      <c r="E636" s="200" t="s">
        <v>348</v>
      </c>
      <c r="F636" s="214"/>
      <c r="G636" s="214"/>
      <c r="H636" s="214"/>
      <c r="I636" s="215" t="s">
        <v>210</v>
      </c>
      <c r="J636" s="215" t="s">
        <v>210</v>
      </c>
      <c r="K636" s="88">
        <v>42156</v>
      </c>
      <c r="L636" s="250"/>
      <c r="M636" s="253"/>
      <c r="U636" s="218">
        <v>3</v>
      </c>
      <c r="V636" s="19" t="s">
        <v>244</v>
      </c>
      <c r="W636" s="19"/>
      <c r="X636" s="241"/>
    </row>
    <row r="637" spans="1:24" ht="30" x14ac:dyDescent="0.25">
      <c r="A637" s="228" t="s">
        <v>141</v>
      </c>
      <c r="B637" s="199" t="s">
        <v>318</v>
      </c>
      <c r="C637" s="199" t="s">
        <v>192</v>
      </c>
      <c r="D637" s="199" t="s">
        <v>263</v>
      </c>
      <c r="E637" s="200" t="s">
        <v>0</v>
      </c>
      <c r="F637" s="214"/>
      <c r="G637" s="214"/>
      <c r="H637" s="214"/>
      <c r="I637" s="215" t="s">
        <v>210</v>
      </c>
      <c r="J637" s="215" t="s">
        <v>210</v>
      </c>
      <c r="K637" s="88">
        <v>42156</v>
      </c>
      <c r="L637" s="250"/>
      <c r="M637" s="253"/>
      <c r="U637" s="218">
        <v>55</v>
      </c>
      <c r="V637" s="19" t="s">
        <v>244</v>
      </c>
      <c r="W637" s="19"/>
      <c r="X637" s="241"/>
    </row>
    <row r="638" spans="1:24" ht="45" x14ac:dyDescent="0.25">
      <c r="A638" s="227" t="s">
        <v>141</v>
      </c>
      <c r="B638" s="167" t="s">
        <v>318</v>
      </c>
      <c r="C638" s="167" t="s">
        <v>192</v>
      </c>
      <c r="D638" s="167" t="s">
        <v>247</v>
      </c>
      <c r="E638" s="50" t="s">
        <v>34</v>
      </c>
      <c r="F638" s="141"/>
      <c r="G638" s="141"/>
      <c r="H638" s="141"/>
      <c r="I638" s="28" t="s">
        <v>210</v>
      </c>
      <c r="J638" s="28" t="s">
        <v>210</v>
      </c>
      <c r="K638" s="88">
        <v>42156</v>
      </c>
      <c r="L638" s="250"/>
      <c r="M638" s="253"/>
      <c r="U638" s="218">
        <v>56</v>
      </c>
      <c r="V638" s="19" t="s">
        <v>244</v>
      </c>
      <c r="W638" s="19"/>
      <c r="X638" s="241"/>
    </row>
    <row r="639" spans="1:24" ht="45" x14ac:dyDescent="0.25">
      <c r="A639" s="227" t="s">
        <v>141</v>
      </c>
      <c r="B639" s="167" t="s">
        <v>318</v>
      </c>
      <c r="C639" s="167" t="s">
        <v>192</v>
      </c>
      <c r="D639" s="167" t="s">
        <v>248</v>
      </c>
      <c r="E639" s="50" t="s">
        <v>34</v>
      </c>
      <c r="F639" s="141"/>
      <c r="G639" s="141"/>
      <c r="H639" s="141"/>
      <c r="I639" s="28" t="s">
        <v>210</v>
      </c>
      <c r="J639" s="28" t="s">
        <v>210</v>
      </c>
      <c r="K639" s="88">
        <v>42156</v>
      </c>
      <c r="L639" s="250"/>
      <c r="M639" s="253"/>
      <c r="U639" s="218">
        <v>56</v>
      </c>
      <c r="V639" s="19" t="s">
        <v>244</v>
      </c>
      <c r="W639" s="19"/>
      <c r="X639" s="241"/>
    </row>
    <row r="640" spans="1:24" ht="45" x14ac:dyDescent="0.25">
      <c r="A640" s="227" t="s">
        <v>141</v>
      </c>
      <c r="B640" s="167" t="s">
        <v>318</v>
      </c>
      <c r="C640" s="167" t="s">
        <v>192</v>
      </c>
      <c r="D640" s="167" t="s">
        <v>260</v>
      </c>
      <c r="E640" s="168" t="s">
        <v>35</v>
      </c>
      <c r="F640" s="141"/>
      <c r="G640" s="141"/>
      <c r="H640" s="141"/>
      <c r="I640" s="28" t="s">
        <v>210</v>
      </c>
      <c r="J640" s="28" t="s">
        <v>210</v>
      </c>
      <c r="K640" s="88">
        <v>42156</v>
      </c>
      <c r="L640" s="250"/>
      <c r="M640" s="253"/>
      <c r="U640" s="218">
        <v>57</v>
      </c>
      <c r="V640" s="19" t="s">
        <v>244</v>
      </c>
      <c r="W640" s="19"/>
      <c r="X640" s="241"/>
    </row>
    <row r="641" spans="1:24" ht="30" x14ac:dyDescent="0.25">
      <c r="A641" s="227" t="s">
        <v>141</v>
      </c>
      <c r="B641" s="167" t="s">
        <v>318</v>
      </c>
      <c r="C641" s="167" t="s">
        <v>192</v>
      </c>
      <c r="D641" s="167" t="s">
        <v>249</v>
      </c>
      <c r="E641" s="169" t="s">
        <v>36</v>
      </c>
      <c r="F641" s="141"/>
      <c r="G641" s="141"/>
      <c r="H641" s="141"/>
      <c r="I641" s="28" t="s">
        <v>210</v>
      </c>
      <c r="J641" s="28" t="s">
        <v>210</v>
      </c>
      <c r="K641" s="88">
        <v>42156</v>
      </c>
      <c r="L641" s="250"/>
      <c r="M641" s="253"/>
      <c r="U641" s="218">
        <v>58</v>
      </c>
      <c r="V641" s="19" t="s">
        <v>244</v>
      </c>
      <c r="W641" s="19"/>
      <c r="X641" s="241"/>
    </row>
    <row r="642" spans="1:24" ht="30" x14ac:dyDescent="0.25">
      <c r="A642" s="227" t="s">
        <v>141</v>
      </c>
      <c r="B642" s="167" t="s">
        <v>318</v>
      </c>
      <c r="C642" s="167" t="s">
        <v>192</v>
      </c>
      <c r="D642" s="167" t="s">
        <v>261</v>
      </c>
      <c r="E642" s="50" t="s">
        <v>37</v>
      </c>
      <c r="F642" s="141"/>
      <c r="G642" s="141"/>
      <c r="H642" s="141"/>
      <c r="I642" s="28" t="s">
        <v>210</v>
      </c>
      <c r="J642" s="28" t="s">
        <v>210</v>
      </c>
      <c r="K642" s="88">
        <v>42156</v>
      </c>
      <c r="L642" s="250"/>
      <c r="M642" s="253"/>
      <c r="U642" s="218">
        <v>59</v>
      </c>
      <c r="V642" s="19" t="s">
        <v>244</v>
      </c>
      <c r="W642" s="19"/>
      <c r="X642" s="241"/>
    </row>
    <row r="643" spans="1:24" ht="45.75" thickBot="1" x14ac:dyDescent="0.3">
      <c r="A643" s="229" t="s">
        <v>141</v>
      </c>
      <c r="B643" s="170" t="s">
        <v>318</v>
      </c>
      <c r="C643" s="170" t="s">
        <v>192</v>
      </c>
      <c r="D643" s="170" t="s">
        <v>262</v>
      </c>
      <c r="E643" s="171" t="s">
        <v>38</v>
      </c>
      <c r="F643" s="142"/>
      <c r="G643" s="142"/>
      <c r="H643" s="142"/>
      <c r="I643" s="39" t="s">
        <v>210</v>
      </c>
      <c r="J643" s="39" t="s">
        <v>210</v>
      </c>
      <c r="K643" s="89">
        <v>42156</v>
      </c>
      <c r="L643" s="251"/>
      <c r="M643" s="254"/>
      <c r="U643" s="218">
        <v>60</v>
      </c>
      <c r="V643" s="19" t="s">
        <v>244</v>
      </c>
      <c r="W643" s="19"/>
      <c r="X643" s="241"/>
    </row>
    <row r="644" spans="1:24" ht="30.75" thickTop="1" x14ac:dyDescent="0.25">
      <c r="A644" s="231" t="s">
        <v>141</v>
      </c>
      <c r="B644" s="158" t="s">
        <v>318</v>
      </c>
      <c r="C644" s="158" t="s">
        <v>193</v>
      </c>
      <c r="D644" s="158" t="s">
        <v>250</v>
      </c>
      <c r="E644" s="159" t="s">
        <v>348</v>
      </c>
      <c r="F644" s="134"/>
      <c r="G644" s="134"/>
      <c r="H644" s="134"/>
      <c r="I644" s="34">
        <v>2</v>
      </c>
      <c r="J644" s="34">
        <v>2</v>
      </c>
      <c r="K644" s="233">
        <v>42156</v>
      </c>
      <c r="L644" s="249" t="str">
        <f t="shared" ref="L644" si="61">CONCATENATE("Level"," ",MIN(I644:I653))</f>
        <v>Level 1</v>
      </c>
      <c r="M644" s="252" t="str">
        <f t="shared" ref="M644" si="62">CONCATENATE("Level"," ",MIN(J644:J653))</f>
        <v>Level 1</v>
      </c>
      <c r="U644" s="218">
        <v>1</v>
      </c>
      <c r="V644" s="19" t="s">
        <v>244</v>
      </c>
      <c r="W644" s="19"/>
      <c r="X644" s="241"/>
    </row>
    <row r="645" spans="1:24" ht="45" x14ac:dyDescent="0.25">
      <c r="A645" s="230" t="s">
        <v>141</v>
      </c>
      <c r="B645" s="190" t="s">
        <v>318</v>
      </c>
      <c r="C645" s="190" t="s">
        <v>193</v>
      </c>
      <c r="D645" s="190" t="s">
        <v>266</v>
      </c>
      <c r="E645" s="191" t="s">
        <v>348</v>
      </c>
      <c r="F645" s="212"/>
      <c r="G645" s="212"/>
      <c r="H645" s="212"/>
      <c r="I645" s="213">
        <v>2</v>
      </c>
      <c r="J645" s="213">
        <v>2</v>
      </c>
      <c r="K645" s="85">
        <v>42156</v>
      </c>
      <c r="L645" s="250"/>
      <c r="M645" s="253"/>
      <c r="U645" s="218">
        <v>2</v>
      </c>
      <c r="V645" s="19" t="s">
        <v>244</v>
      </c>
      <c r="W645" s="19"/>
      <c r="X645" s="241"/>
    </row>
    <row r="646" spans="1:24" ht="75" x14ac:dyDescent="0.25">
      <c r="A646" s="230" t="s">
        <v>141</v>
      </c>
      <c r="B646" s="190" t="s">
        <v>318</v>
      </c>
      <c r="C646" s="190" t="s">
        <v>193</v>
      </c>
      <c r="D646" s="190" t="s">
        <v>252</v>
      </c>
      <c r="E646" s="191" t="s">
        <v>348</v>
      </c>
      <c r="F646" s="212"/>
      <c r="G646" s="212"/>
      <c r="H646" s="212"/>
      <c r="I646" s="213">
        <v>1</v>
      </c>
      <c r="J646" s="213">
        <v>1</v>
      </c>
      <c r="K646" s="85">
        <v>42156</v>
      </c>
      <c r="L646" s="250"/>
      <c r="M646" s="253"/>
      <c r="U646" s="218">
        <v>3</v>
      </c>
      <c r="V646" s="19" t="s">
        <v>244</v>
      </c>
      <c r="W646" s="19"/>
      <c r="X646" s="241"/>
    </row>
    <row r="647" spans="1:24" ht="30" x14ac:dyDescent="0.25">
      <c r="A647" s="230" t="s">
        <v>141</v>
      </c>
      <c r="B647" s="190" t="s">
        <v>318</v>
      </c>
      <c r="C647" s="190" t="s">
        <v>193</v>
      </c>
      <c r="D647" s="190" t="s">
        <v>263</v>
      </c>
      <c r="E647" s="191" t="s">
        <v>0</v>
      </c>
      <c r="F647" s="212"/>
      <c r="G647" s="212"/>
      <c r="H647" s="212"/>
      <c r="I647" s="213">
        <v>1</v>
      </c>
      <c r="J647" s="213">
        <v>1</v>
      </c>
      <c r="K647" s="85">
        <v>42156</v>
      </c>
      <c r="L647" s="250"/>
      <c r="M647" s="253"/>
      <c r="U647" s="218">
        <v>55</v>
      </c>
      <c r="V647" s="19" t="s">
        <v>244</v>
      </c>
      <c r="W647" s="19"/>
      <c r="X647" s="241"/>
    </row>
    <row r="648" spans="1:24" ht="45" x14ac:dyDescent="0.25">
      <c r="A648" s="230" t="s">
        <v>141</v>
      </c>
      <c r="B648" s="190" t="s">
        <v>318</v>
      </c>
      <c r="C648" s="190" t="s">
        <v>193</v>
      </c>
      <c r="D648" s="190" t="s">
        <v>247</v>
      </c>
      <c r="E648" s="47" t="s">
        <v>34</v>
      </c>
      <c r="F648" s="212"/>
      <c r="G648" s="212"/>
      <c r="H648" s="212"/>
      <c r="I648" s="213">
        <v>2</v>
      </c>
      <c r="J648" s="213">
        <v>2</v>
      </c>
      <c r="K648" s="85">
        <v>42156</v>
      </c>
      <c r="L648" s="250"/>
      <c r="M648" s="253"/>
      <c r="U648" s="218">
        <v>56</v>
      </c>
      <c r="V648" s="19" t="s">
        <v>244</v>
      </c>
      <c r="W648" s="19"/>
      <c r="X648" s="241"/>
    </row>
    <row r="649" spans="1:24" ht="45" x14ac:dyDescent="0.25">
      <c r="A649" s="224" t="s">
        <v>141</v>
      </c>
      <c r="B649" s="160" t="s">
        <v>318</v>
      </c>
      <c r="C649" s="160" t="s">
        <v>193</v>
      </c>
      <c r="D649" s="160" t="s">
        <v>248</v>
      </c>
      <c r="E649" s="47" t="s">
        <v>34</v>
      </c>
      <c r="F649" s="135"/>
      <c r="G649" s="135"/>
      <c r="H649" s="135"/>
      <c r="I649" s="27">
        <v>2</v>
      </c>
      <c r="J649" s="27">
        <v>2</v>
      </c>
      <c r="K649" s="85">
        <v>42156</v>
      </c>
      <c r="L649" s="250"/>
      <c r="M649" s="253"/>
      <c r="U649" s="218">
        <v>56</v>
      </c>
      <c r="V649" s="19" t="s">
        <v>244</v>
      </c>
      <c r="W649" s="19"/>
      <c r="X649" s="241"/>
    </row>
    <row r="650" spans="1:24" ht="45" x14ac:dyDescent="0.25">
      <c r="A650" s="224" t="s">
        <v>141</v>
      </c>
      <c r="B650" s="160" t="s">
        <v>318</v>
      </c>
      <c r="C650" s="160" t="s">
        <v>193</v>
      </c>
      <c r="D650" s="160" t="s">
        <v>260</v>
      </c>
      <c r="E650" s="161" t="s">
        <v>35</v>
      </c>
      <c r="F650" s="135"/>
      <c r="G650" s="135"/>
      <c r="H650" s="135"/>
      <c r="I650" s="27">
        <v>2</v>
      </c>
      <c r="J650" s="27">
        <v>3</v>
      </c>
      <c r="K650" s="85">
        <v>42156</v>
      </c>
      <c r="L650" s="250"/>
      <c r="M650" s="253"/>
      <c r="U650" s="218">
        <v>57</v>
      </c>
      <c r="V650" s="19" t="s">
        <v>244</v>
      </c>
      <c r="W650" s="19"/>
      <c r="X650" s="241"/>
    </row>
    <row r="651" spans="1:24" ht="30" x14ac:dyDescent="0.25">
      <c r="A651" s="224" t="s">
        <v>141</v>
      </c>
      <c r="B651" s="160" t="s">
        <v>318</v>
      </c>
      <c r="C651" s="160" t="s">
        <v>193</v>
      </c>
      <c r="D651" s="160" t="s">
        <v>249</v>
      </c>
      <c r="E651" s="162" t="s">
        <v>36</v>
      </c>
      <c r="F651" s="135"/>
      <c r="G651" s="135"/>
      <c r="H651" s="135"/>
      <c r="I651" s="27">
        <v>2</v>
      </c>
      <c r="J651" s="27">
        <v>3</v>
      </c>
      <c r="K651" s="85">
        <v>42156</v>
      </c>
      <c r="L651" s="250"/>
      <c r="M651" s="253"/>
      <c r="U651" s="218">
        <v>58</v>
      </c>
      <c r="V651" s="19" t="s">
        <v>244</v>
      </c>
      <c r="W651" s="19"/>
      <c r="X651" s="241"/>
    </row>
    <row r="652" spans="1:24" ht="30" x14ac:dyDescent="0.25">
      <c r="A652" s="224" t="s">
        <v>141</v>
      </c>
      <c r="B652" s="160" t="s">
        <v>318</v>
      </c>
      <c r="C652" s="160" t="s">
        <v>193</v>
      </c>
      <c r="D652" s="160" t="s">
        <v>261</v>
      </c>
      <c r="E652" s="47" t="s">
        <v>37</v>
      </c>
      <c r="F652" s="135"/>
      <c r="G652" s="135"/>
      <c r="H652" s="135"/>
      <c r="I652" s="27">
        <v>3</v>
      </c>
      <c r="J652" s="27">
        <v>4</v>
      </c>
      <c r="K652" s="85">
        <v>42156</v>
      </c>
      <c r="L652" s="250"/>
      <c r="M652" s="253"/>
      <c r="U652" s="218">
        <v>59</v>
      </c>
      <c r="V652" s="19" t="s">
        <v>244</v>
      </c>
      <c r="W652" s="19"/>
      <c r="X652" s="241"/>
    </row>
    <row r="653" spans="1:24" ht="45.75" thickBot="1" x14ac:dyDescent="0.3">
      <c r="A653" s="225" t="s">
        <v>141</v>
      </c>
      <c r="B653" s="163" t="s">
        <v>318</v>
      </c>
      <c r="C653" s="163" t="s">
        <v>193</v>
      </c>
      <c r="D653" s="163" t="s">
        <v>262</v>
      </c>
      <c r="E653" s="164" t="s">
        <v>38</v>
      </c>
      <c r="F653" s="136"/>
      <c r="G653" s="136"/>
      <c r="H653" s="136"/>
      <c r="I653" s="35">
        <v>2</v>
      </c>
      <c r="J653" s="35">
        <v>2</v>
      </c>
      <c r="K653" s="86">
        <v>42156</v>
      </c>
      <c r="L653" s="251"/>
      <c r="M653" s="254"/>
      <c r="U653" s="218">
        <v>60</v>
      </c>
      <c r="V653" s="19" t="s">
        <v>244</v>
      </c>
      <c r="W653" s="19"/>
      <c r="X653" s="241"/>
    </row>
    <row r="654" spans="1:24" ht="30.75" thickTop="1" x14ac:dyDescent="0.25">
      <c r="A654" s="226" t="s">
        <v>141</v>
      </c>
      <c r="B654" s="165" t="s">
        <v>319</v>
      </c>
      <c r="C654" s="165" t="s">
        <v>194</v>
      </c>
      <c r="D654" s="165" t="s">
        <v>250</v>
      </c>
      <c r="E654" s="166" t="s">
        <v>348</v>
      </c>
      <c r="F654" s="140"/>
      <c r="G654" s="140"/>
      <c r="H654" s="140"/>
      <c r="I654" s="38">
        <v>3</v>
      </c>
      <c r="J654" s="38">
        <v>3</v>
      </c>
      <c r="K654" s="203">
        <v>42156</v>
      </c>
      <c r="L654" s="249" t="str">
        <f t="shared" ref="L654" si="63">CONCATENATE("Level"," ",MIN(I654:I665))</f>
        <v>Level 2</v>
      </c>
      <c r="M654" s="252" t="str">
        <f t="shared" ref="M654" si="64">CONCATENATE("Level"," ",MIN(J654:J665))</f>
        <v>Level 3</v>
      </c>
      <c r="U654" s="218">
        <v>1</v>
      </c>
      <c r="V654" s="19" t="s">
        <v>244</v>
      </c>
      <c r="W654" s="19"/>
      <c r="X654" s="241"/>
    </row>
    <row r="655" spans="1:24" ht="45" x14ac:dyDescent="0.25">
      <c r="A655" s="228" t="s">
        <v>141</v>
      </c>
      <c r="B655" s="199" t="s">
        <v>319</v>
      </c>
      <c r="C655" s="199" t="s">
        <v>194</v>
      </c>
      <c r="D655" s="199" t="s">
        <v>266</v>
      </c>
      <c r="E655" s="200" t="s">
        <v>348</v>
      </c>
      <c r="F655" s="214"/>
      <c r="G655" s="214"/>
      <c r="H655" s="214"/>
      <c r="I655" s="215">
        <v>3</v>
      </c>
      <c r="J655" s="215">
        <v>3</v>
      </c>
      <c r="K655" s="88">
        <v>42156</v>
      </c>
      <c r="L655" s="250"/>
      <c r="M655" s="253"/>
      <c r="U655" s="218">
        <v>2</v>
      </c>
      <c r="V655" s="19" t="s">
        <v>244</v>
      </c>
      <c r="W655" s="19"/>
      <c r="X655" s="241"/>
    </row>
    <row r="656" spans="1:24" ht="30" x14ac:dyDescent="0.25">
      <c r="A656" s="228" t="s">
        <v>141</v>
      </c>
      <c r="B656" s="199" t="s">
        <v>319</v>
      </c>
      <c r="C656" s="199" t="s">
        <v>194</v>
      </c>
      <c r="D656" s="199" t="s">
        <v>295</v>
      </c>
      <c r="E656" s="200" t="s">
        <v>348</v>
      </c>
      <c r="F656" s="214"/>
      <c r="G656" s="214"/>
      <c r="H656" s="214"/>
      <c r="I656" s="215">
        <v>3</v>
      </c>
      <c r="J656" s="215">
        <v>3</v>
      </c>
      <c r="K656" s="88">
        <v>42156</v>
      </c>
      <c r="L656" s="250"/>
      <c r="M656" s="253"/>
      <c r="U656" s="218">
        <v>28</v>
      </c>
      <c r="V656" s="19" t="s">
        <v>244</v>
      </c>
      <c r="W656" s="19"/>
      <c r="X656" s="241"/>
    </row>
    <row r="657" spans="1:24" ht="45" x14ac:dyDescent="0.25">
      <c r="A657" s="228" t="s">
        <v>141</v>
      </c>
      <c r="B657" s="199" t="s">
        <v>319</v>
      </c>
      <c r="C657" s="199" t="s">
        <v>194</v>
      </c>
      <c r="D657" s="199" t="s">
        <v>320</v>
      </c>
      <c r="E657" s="200" t="s">
        <v>348</v>
      </c>
      <c r="F657" s="214"/>
      <c r="G657" s="214"/>
      <c r="H657" s="214"/>
      <c r="I657" s="215">
        <v>3</v>
      </c>
      <c r="J657" s="215">
        <v>3</v>
      </c>
      <c r="K657" s="88">
        <v>42156</v>
      </c>
      <c r="L657" s="250"/>
      <c r="M657" s="253"/>
      <c r="U657" s="218">
        <v>6</v>
      </c>
      <c r="V657" s="19" t="s">
        <v>244</v>
      </c>
      <c r="W657" s="19"/>
      <c r="X657" s="241"/>
    </row>
    <row r="658" spans="1:24" ht="75" x14ac:dyDescent="0.25">
      <c r="A658" s="228" t="s">
        <v>141</v>
      </c>
      <c r="B658" s="199" t="s">
        <v>319</v>
      </c>
      <c r="C658" s="199" t="s">
        <v>194</v>
      </c>
      <c r="D658" s="199" t="s">
        <v>252</v>
      </c>
      <c r="E658" s="200" t="s">
        <v>348</v>
      </c>
      <c r="F658" s="214"/>
      <c r="G658" s="214"/>
      <c r="H658" s="214"/>
      <c r="I658" s="215">
        <v>4</v>
      </c>
      <c r="J658" s="215">
        <v>4</v>
      </c>
      <c r="K658" s="88">
        <v>42156</v>
      </c>
      <c r="L658" s="250"/>
      <c r="M658" s="253"/>
      <c r="U658" s="218">
        <v>3</v>
      </c>
      <c r="V658" s="19" t="s">
        <v>244</v>
      </c>
      <c r="W658" s="19"/>
      <c r="X658" s="241"/>
    </row>
    <row r="659" spans="1:24" ht="30" x14ac:dyDescent="0.25">
      <c r="A659" s="228" t="s">
        <v>141</v>
      </c>
      <c r="B659" s="199" t="s">
        <v>319</v>
      </c>
      <c r="C659" s="199" t="s">
        <v>194</v>
      </c>
      <c r="D659" s="199" t="s">
        <v>263</v>
      </c>
      <c r="E659" s="200" t="s">
        <v>0</v>
      </c>
      <c r="F659" s="214"/>
      <c r="G659" s="214"/>
      <c r="H659" s="214"/>
      <c r="I659" s="215">
        <v>2</v>
      </c>
      <c r="J659" s="215">
        <v>3</v>
      </c>
      <c r="K659" s="88">
        <v>42156</v>
      </c>
      <c r="L659" s="250"/>
      <c r="M659" s="253"/>
      <c r="U659" s="218">
        <v>55</v>
      </c>
      <c r="V659" s="19" t="s">
        <v>244</v>
      </c>
      <c r="W659" s="19"/>
      <c r="X659" s="241"/>
    </row>
    <row r="660" spans="1:24" ht="45" x14ac:dyDescent="0.25">
      <c r="A660" s="227" t="s">
        <v>141</v>
      </c>
      <c r="B660" s="167" t="s">
        <v>319</v>
      </c>
      <c r="C660" s="167" t="s">
        <v>194</v>
      </c>
      <c r="D660" s="199" t="s">
        <v>247</v>
      </c>
      <c r="E660" s="50" t="s">
        <v>34</v>
      </c>
      <c r="F660" s="214"/>
      <c r="G660" s="214"/>
      <c r="H660" s="214"/>
      <c r="I660" s="215">
        <v>2</v>
      </c>
      <c r="J660" s="215">
        <v>3</v>
      </c>
      <c r="K660" s="88">
        <v>42156</v>
      </c>
      <c r="L660" s="250"/>
      <c r="M660" s="253"/>
      <c r="U660" s="218">
        <v>56</v>
      </c>
      <c r="V660" s="19" t="s">
        <v>244</v>
      </c>
      <c r="W660" s="19"/>
      <c r="X660" s="241"/>
    </row>
    <row r="661" spans="1:24" ht="45" x14ac:dyDescent="0.25">
      <c r="A661" s="227" t="s">
        <v>141</v>
      </c>
      <c r="B661" s="167" t="s">
        <v>319</v>
      </c>
      <c r="C661" s="167" t="s">
        <v>194</v>
      </c>
      <c r="D661" s="167" t="s">
        <v>248</v>
      </c>
      <c r="E661" s="50" t="s">
        <v>34</v>
      </c>
      <c r="F661" s="141"/>
      <c r="G661" s="141"/>
      <c r="H661" s="141"/>
      <c r="I661" s="28">
        <v>2</v>
      </c>
      <c r="J661" s="28">
        <v>3</v>
      </c>
      <c r="K661" s="88">
        <v>42156</v>
      </c>
      <c r="L661" s="250"/>
      <c r="M661" s="253"/>
      <c r="U661" s="218">
        <v>56</v>
      </c>
      <c r="V661" s="19" t="s">
        <v>244</v>
      </c>
      <c r="W661" s="19"/>
      <c r="X661" s="241"/>
    </row>
    <row r="662" spans="1:24" ht="45" x14ac:dyDescent="0.25">
      <c r="A662" s="227" t="s">
        <v>141</v>
      </c>
      <c r="B662" s="167" t="s">
        <v>319</v>
      </c>
      <c r="C662" s="167" t="s">
        <v>194</v>
      </c>
      <c r="D662" s="167" t="s">
        <v>260</v>
      </c>
      <c r="E662" s="168" t="s">
        <v>35</v>
      </c>
      <c r="F662" s="141"/>
      <c r="G662" s="141"/>
      <c r="H662" s="141"/>
      <c r="I662" s="28">
        <v>3</v>
      </c>
      <c r="J662" s="28">
        <v>3</v>
      </c>
      <c r="K662" s="88">
        <v>42156</v>
      </c>
      <c r="L662" s="250"/>
      <c r="M662" s="253"/>
      <c r="U662" s="218">
        <v>57</v>
      </c>
      <c r="V662" s="19" t="s">
        <v>244</v>
      </c>
      <c r="W662" s="19"/>
      <c r="X662" s="241"/>
    </row>
    <row r="663" spans="1:24" ht="30" x14ac:dyDescent="0.25">
      <c r="A663" s="227" t="s">
        <v>141</v>
      </c>
      <c r="B663" s="167" t="s">
        <v>319</v>
      </c>
      <c r="C663" s="167" t="s">
        <v>194</v>
      </c>
      <c r="D663" s="167" t="s">
        <v>249</v>
      </c>
      <c r="E663" s="169" t="s">
        <v>36</v>
      </c>
      <c r="F663" s="141"/>
      <c r="G663" s="141"/>
      <c r="H663" s="141"/>
      <c r="I663" s="28">
        <v>2</v>
      </c>
      <c r="J663" s="28">
        <v>3</v>
      </c>
      <c r="K663" s="88">
        <v>42156</v>
      </c>
      <c r="L663" s="250"/>
      <c r="M663" s="253"/>
      <c r="U663" s="218">
        <v>58</v>
      </c>
      <c r="V663" s="19" t="s">
        <v>244</v>
      </c>
      <c r="W663" s="19"/>
      <c r="X663" s="241"/>
    </row>
    <row r="664" spans="1:24" ht="30" x14ac:dyDescent="0.25">
      <c r="A664" s="227" t="s">
        <v>141</v>
      </c>
      <c r="B664" s="167" t="s">
        <v>319</v>
      </c>
      <c r="C664" s="167" t="s">
        <v>194</v>
      </c>
      <c r="D664" s="167" t="s">
        <v>261</v>
      </c>
      <c r="E664" s="50" t="s">
        <v>37</v>
      </c>
      <c r="F664" s="141"/>
      <c r="G664" s="141"/>
      <c r="H664" s="141"/>
      <c r="I664" s="28">
        <v>2</v>
      </c>
      <c r="J664" s="28">
        <v>3</v>
      </c>
      <c r="K664" s="88">
        <v>42156</v>
      </c>
      <c r="L664" s="250"/>
      <c r="M664" s="253"/>
      <c r="U664" s="218">
        <v>59</v>
      </c>
      <c r="V664" s="19" t="s">
        <v>244</v>
      </c>
      <c r="W664" s="19"/>
      <c r="X664" s="241"/>
    </row>
    <row r="665" spans="1:24" ht="45.75" thickBot="1" x14ac:dyDescent="0.3">
      <c r="A665" s="229" t="s">
        <v>141</v>
      </c>
      <c r="B665" s="170" t="s">
        <v>319</v>
      </c>
      <c r="C665" s="170" t="s">
        <v>194</v>
      </c>
      <c r="D665" s="170" t="s">
        <v>262</v>
      </c>
      <c r="E665" s="171" t="s">
        <v>38</v>
      </c>
      <c r="F665" s="142"/>
      <c r="G665" s="142"/>
      <c r="H665" s="142"/>
      <c r="I665" s="39">
        <v>2</v>
      </c>
      <c r="J665" s="39">
        <v>3</v>
      </c>
      <c r="K665" s="89">
        <v>42156</v>
      </c>
      <c r="L665" s="251"/>
      <c r="M665" s="254"/>
      <c r="U665" s="218">
        <v>60</v>
      </c>
      <c r="V665" s="19" t="s">
        <v>244</v>
      </c>
      <c r="W665" s="19"/>
      <c r="X665" s="241"/>
    </row>
    <row r="666" spans="1:24" ht="30.75" thickTop="1" x14ac:dyDescent="0.25">
      <c r="A666" s="231" t="s">
        <v>142</v>
      </c>
      <c r="B666" s="158" t="s">
        <v>331</v>
      </c>
      <c r="C666" s="158" t="s">
        <v>134</v>
      </c>
      <c r="D666" s="158" t="s">
        <v>295</v>
      </c>
      <c r="E666" s="159" t="s">
        <v>348</v>
      </c>
      <c r="F666" s="134"/>
      <c r="G666" s="134"/>
      <c r="H666" s="134"/>
      <c r="I666" s="34">
        <v>1</v>
      </c>
      <c r="J666" s="34">
        <v>1</v>
      </c>
      <c r="K666" s="233">
        <v>42156</v>
      </c>
      <c r="L666" s="249" t="str">
        <f t="shared" ref="L666" si="65">CONCATENATE("Level"," ",MIN(I666:I676))</f>
        <v>Level 1</v>
      </c>
      <c r="M666" s="252" t="str">
        <f t="shared" ref="M666" si="66">CONCATENATE("Level"," ",MIN(J666:J676))</f>
        <v>Level 1</v>
      </c>
      <c r="U666" s="218">
        <v>28</v>
      </c>
      <c r="V666" s="19" t="s">
        <v>244</v>
      </c>
      <c r="W666" s="19" t="s">
        <v>209</v>
      </c>
      <c r="X666" s="240"/>
    </row>
    <row r="667" spans="1:24" ht="30" x14ac:dyDescent="0.25">
      <c r="A667" s="230" t="s">
        <v>142</v>
      </c>
      <c r="B667" s="190" t="s">
        <v>331</v>
      </c>
      <c r="C667" s="190" t="s">
        <v>134</v>
      </c>
      <c r="D667" s="190" t="s">
        <v>250</v>
      </c>
      <c r="E667" s="191" t="s">
        <v>348</v>
      </c>
      <c r="F667" s="212"/>
      <c r="G667" s="212"/>
      <c r="H667" s="212"/>
      <c r="I667" s="213">
        <v>2</v>
      </c>
      <c r="J667" s="213">
        <v>2</v>
      </c>
      <c r="K667" s="85">
        <v>42156</v>
      </c>
      <c r="L667" s="250"/>
      <c r="M667" s="253"/>
      <c r="U667" s="218">
        <v>1</v>
      </c>
      <c r="V667" s="19" t="s">
        <v>244</v>
      </c>
      <c r="W667" s="19" t="s">
        <v>209</v>
      </c>
      <c r="X667" s="240"/>
    </row>
    <row r="668" spans="1:24" ht="45" x14ac:dyDescent="0.25">
      <c r="A668" s="230" t="s">
        <v>142</v>
      </c>
      <c r="B668" s="190" t="s">
        <v>331</v>
      </c>
      <c r="C668" s="190" t="s">
        <v>134</v>
      </c>
      <c r="D668" s="190" t="s">
        <v>266</v>
      </c>
      <c r="E668" s="191" t="s">
        <v>348</v>
      </c>
      <c r="F668" s="212"/>
      <c r="G668" s="212"/>
      <c r="H668" s="212"/>
      <c r="I668" s="213">
        <v>2</v>
      </c>
      <c r="J668" s="213">
        <v>3</v>
      </c>
      <c r="K668" s="85">
        <v>42156</v>
      </c>
      <c r="L668" s="250"/>
      <c r="M668" s="253"/>
      <c r="U668" s="218">
        <v>2</v>
      </c>
      <c r="V668" s="19" t="s">
        <v>244</v>
      </c>
      <c r="W668" s="19" t="s">
        <v>209</v>
      </c>
      <c r="X668" s="240"/>
    </row>
    <row r="669" spans="1:24" ht="75" x14ac:dyDescent="0.25">
      <c r="A669" s="230" t="s">
        <v>142</v>
      </c>
      <c r="B669" s="190" t="s">
        <v>331</v>
      </c>
      <c r="C669" s="190" t="s">
        <v>134</v>
      </c>
      <c r="D669" s="190" t="s">
        <v>252</v>
      </c>
      <c r="E669" s="191" t="s">
        <v>348</v>
      </c>
      <c r="F669" s="212"/>
      <c r="G669" s="212"/>
      <c r="H669" s="212"/>
      <c r="I669" s="213">
        <v>1</v>
      </c>
      <c r="J669" s="213">
        <v>1</v>
      </c>
      <c r="K669" s="85">
        <v>42156</v>
      </c>
      <c r="L669" s="250"/>
      <c r="M669" s="253"/>
      <c r="U669" s="218">
        <v>3</v>
      </c>
      <c r="V669" s="19" t="s">
        <v>244</v>
      </c>
      <c r="W669" s="19" t="s">
        <v>209</v>
      </c>
      <c r="X669" s="240"/>
    </row>
    <row r="670" spans="1:24" ht="30" x14ac:dyDescent="0.25">
      <c r="A670" s="230" t="s">
        <v>142</v>
      </c>
      <c r="B670" s="190" t="s">
        <v>331</v>
      </c>
      <c r="C670" s="190" t="s">
        <v>134</v>
      </c>
      <c r="D670" s="190" t="s">
        <v>259</v>
      </c>
      <c r="E670" s="191" t="s">
        <v>0</v>
      </c>
      <c r="F670" s="212"/>
      <c r="G670" s="212"/>
      <c r="H670" s="212"/>
      <c r="I670" s="213">
        <v>1</v>
      </c>
      <c r="J670" s="213">
        <v>2</v>
      </c>
      <c r="K670" s="85">
        <v>42156</v>
      </c>
      <c r="L670" s="250"/>
      <c r="M670" s="253"/>
      <c r="U670" s="218">
        <v>55</v>
      </c>
      <c r="V670" s="19" t="s">
        <v>244</v>
      </c>
      <c r="W670" s="19" t="s">
        <v>209</v>
      </c>
      <c r="X670" s="240"/>
    </row>
    <row r="671" spans="1:24" ht="45" x14ac:dyDescent="0.25">
      <c r="A671" s="230" t="s">
        <v>142</v>
      </c>
      <c r="B671" s="190" t="s">
        <v>331</v>
      </c>
      <c r="C671" s="190" t="s">
        <v>134</v>
      </c>
      <c r="D671" s="190" t="s">
        <v>247</v>
      </c>
      <c r="E671" s="47" t="s">
        <v>34</v>
      </c>
      <c r="F671" s="212"/>
      <c r="G671" s="212"/>
      <c r="H671" s="212"/>
      <c r="I671" s="213">
        <v>2</v>
      </c>
      <c r="J671" s="213">
        <v>2</v>
      </c>
      <c r="K671" s="85">
        <v>42156</v>
      </c>
      <c r="L671" s="250"/>
      <c r="M671" s="253"/>
      <c r="U671" s="218">
        <v>56</v>
      </c>
      <c r="V671" s="19" t="s">
        <v>244</v>
      </c>
      <c r="W671" s="19" t="s">
        <v>209</v>
      </c>
      <c r="X671" s="240"/>
    </row>
    <row r="672" spans="1:24" ht="45" x14ac:dyDescent="0.25">
      <c r="A672" s="224" t="s">
        <v>142</v>
      </c>
      <c r="B672" s="160" t="s">
        <v>331</v>
      </c>
      <c r="C672" s="160" t="s">
        <v>134</v>
      </c>
      <c r="D672" s="160" t="s">
        <v>248</v>
      </c>
      <c r="E672" s="47" t="s">
        <v>34</v>
      </c>
      <c r="F672" s="135"/>
      <c r="G672" s="135"/>
      <c r="H672" s="135"/>
      <c r="I672" s="27">
        <v>2</v>
      </c>
      <c r="J672" s="27">
        <v>2</v>
      </c>
      <c r="K672" s="85">
        <v>42156</v>
      </c>
      <c r="L672" s="250"/>
      <c r="M672" s="253"/>
      <c r="U672" s="218">
        <v>56</v>
      </c>
      <c r="V672" s="19" t="s">
        <v>244</v>
      </c>
      <c r="W672" s="19" t="s">
        <v>209</v>
      </c>
      <c r="X672" s="240"/>
    </row>
    <row r="673" spans="1:24" ht="45" x14ac:dyDescent="0.25">
      <c r="A673" s="224" t="s">
        <v>142</v>
      </c>
      <c r="B673" s="160" t="s">
        <v>331</v>
      </c>
      <c r="C673" s="160" t="s">
        <v>134</v>
      </c>
      <c r="D673" s="160" t="s">
        <v>260</v>
      </c>
      <c r="E673" s="161" t="s">
        <v>35</v>
      </c>
      <c r="F673" s="135"/>
      <c r="G673" s="135"/>
      <c r="H673" s="135"/>
      <c r="I673" s="27">
        <v>2</v>
      </c>
      <c r="J673" s="27">
        <v>3</v>
      </c>
      <c r="K673" s="85">
        <v>42156</v>
      </c>
      <c r="L673" s="250"/>
      <c r="M673" s="253"/>
      <c r="U673" s="218">
        <v>57</v>
      </c>
      <c r="V673" s="19" t="s">
        <v>244</v>
      </c>
      <c r="W673" s="19" t="s">
        <v>209</v>
      </c>
      <c r="X673" s="240"/>
    </row>
    <row r="674" spans="1:24" ht="30" x14ac:dyDescent="0.25">
      <c r="A674" s="224" t="s">
        <v>142</v>
      </c>
      <c r="B674" s="160" t="s">
        <v>331</v>
      </c>
      <c r="C674" s="160" t="s">
        <v>134</v>
      </c>
      <c r="D674" s="160" t="s">
        <v>249</v>
      </c>
      <c r="E674" s="162" t="s">
        <v>36</v>
      </c>
      <c r="F674" s="135"/>
      <c r="G674" s="135"/>
      <c r="H674" s="135"/>
      <c r="I674" s="27">
        <v>2</v>
      </c>
      <c r="J674" s="27">
        <v>2</v>
      </c>
      <c r="K674" s="85">
        <v>42156</v>
      </c>
      <c r="L674" s="250"/>
      <c r="M674" s="253"/>
      <c r="U674" s="218">
        <v>58</v>
      </c>
      <c r="V674" s="19" t="s">
        <v>244</v>
      </c>
      <c r="W674" s="19" t="s">
        <v>209</v>
      </c>
      <c r="X674" s="240"/>
    </row>
    <row r="675" spans="1:24" ht="30" x14ac:dyDescent="0.25">
      <c r="A675" s="224" t="s">
        <v>142</v>
      </c>
      <c r="B675" s="160" t="s">
        <v>331</v>
      </c>
      <c r="C675" s="160" t="s">
        <v>134</v>
      </c>
      <c r="D675" s="160" t="s">
        <v>261</v>
      </c>
      <c r="E675" s="47" t="s">
        <v>37</v>
      </c>
      <c r="F675" s="135"/>
      <c r="G675" s="135"/>
      <c r="H675" s="135"/>
      <c r="I675" s="27">
        <v>2</v>
      </c>
      <c r="J675" s="27">
        <v>2</v>
      </c>
      <c r="K675" s="85">
        <v>42156</v>
      </c>
      <c r="L675" s="250"/>
      <c r="M675" s="253"/>
      <c r="U675" s="218">
        <v>59</v>
      </c>
      <c r="V675" s="19" t="s">
        <v>244</v>
      </c>
      <c r="W675" s="19" t="s">
        <v>209</v>
      </c>
      <c r="X675" s="240"/>
    </row>
    <row r="676" spans="1:24" ht="45.75" thickBot="1" x14ac:dyDescent="0.3">
      <c r="A676" s="225" t="s">
        <v>142</v>
      </c>
      <c r="B676" s="163" t="s">
        <v>331</v>
      </c>
      <c r="C676" s="163" t="s">
        <v>134</v>
      </c>
      <c r="D676" s="163" t="s">
        <v>262</v>
      </c>
      <c r="E676" s="164" t="s">
        <v>38</v>
      </c>
      <c r="F676" s="136"/>
      <c r="G676" s="136"/>
      <c r="H676" s="136"/>
      <c r="I676" s="35">
        <v>1</v>
      </c>
      <c r="J676" s="35">
        <v>2</v>
      </c>
      <c r="K676" s="86">
        <v>42156</v>
      </c>
      <c r="L676" s="251"/>
      <c r="M676" s="254"/>
      <c r="U676" s="218">
        <v>60</v>
      </c>
      <c r="V676" s="19" t="s">
        <v>244</v>
      </c>
      <c r="W676" s="19" t="s">
        <v>209</v>
      </c>
      <c r="X676" s="240"/>
    </row>
    <row r="677" spans="1:24" ht="30.75" thickTop="1" x14ac:dyDescent="0.25">
      <c r="A677" s="226" t="s">
        <v>142</v>
      </c>
      <c r="B677" s="165" t="s">
        <v>331</v>
      </c>
      <c r="C677" s="165" t="s">
        <v>195</v>
      </c>
      <c r="D677" s="165" t="s">
        <v>279</v>
      </c>
      <c r="E677" s="166" t="s">
        <v>348</v>
      </c>
      <c r="F677" s="140"/>
      <c r="G677" s="140"/>
      <c r="H677" s="140"/>
      <c r="I677" s="38">
        <v>1</v>
      </c>
      <c r="J677" s="38">
        <v>1</v>
      </c>
      <c r="K677" s="203">
        <v>42156</v>
      </c>
      <c r="L677" s="249" t="str">
        <f t="shared" ref="L677" si="67">CONCATENATE("Level"," ",MIN(I677:I687))</f>
        <v>Level 1</v>
      </c>
      <c r="M677" s="252" t="str">
        <f t="shared" ref="M677" si="68">CONCATENATE("Level"," ",MIN(J677:J687))</f>
        <v>Level 1</v>
      </c>
      <c r="U677" s="218">
        <v>11</v>
      </c>
      <c r="V677" s="19" t="s">
        <v>244</v>
      </c>
      <c r="W677" s="19"/>
      <c r="X677" s="241"/>
    </row>
    <row r="678" spans="1:24" ht="30" x14ac:dyDescent="0.25">
      <c r="A678" s="228" t="s">
        <v>142</v>
      </c>
      <c r="B678" s="199" t="s">
        <v>331</v>
      </c>
      <c r="C678" s="199" t="s">
        <v>195</v>
      </c>
      <c r="D678" s="199" t="s">
        <v>250</v>
      </c>
      <c r="E678" s="200" t="s">
        <v>348</v>
      </c>
      <c r="F678" s="214"/>
      <c r="G678" s="214"/>
      <c r="H678" s="214"/>
      <c r="I678" s="215">
        <v>2</v>
      </c>
      <c r="J678" s="215">
        <v>2</v>
      </c>
      <c r="K678" s="88">
        <v>42156</v>
      </c>
      <c r="L678" s="250"/>
      <c r="M678" s="253"/>
      <c r="U678" s="218">
        <v>1</v>
      </c>
      <c r="V678" s="19" t="s">
        <v>244</v>
      </c>
      <c r="W678" s="19"/>
      <c r="X678" s="241"/>
    </row>
    <row r="679" spans="1:24" ht="45" x14ac:dyDescent="0.25">
      <c r="A679" s="228" t="s">
        <v>142</v>
      </c>
      <c r="B679" s="199" t="s">
        <v>331</v>
      </c>
      <c r="C679" s="199" t="s">
        <v>195</v>
      </c>
      <c r="D679" s="199" t="s">
        <v>266</v>
      </c>
      <c r="E679" s="200" t="s">
        <v>348</v>
      </c>
      <c r="F679" s="214"/>
      <c r="G679" s="214"/>
      <c r="H679" s="214"/>
      <c r="I679" s="215">
        <v>2</v>
      </c>
      <c r="J679" s="215">
        <v>2</v>
      </c>
      <c r="K679" s="88">
        <v>42156</v>
      </c>
      <c r="L679" s="250"/>
      <c r="M679" s="253"/>
      <c r="U679" s="218">
        <v>2</v>
      </c>
      <c r="V679" s="19" t="s">
        <v>244</v>
      </c>
      <c r="W679" s="19"/>
      <c r="X679" s="241"/>
    </row>
    <row r="680" spans="1:24" ht="75" x14ac:dyDescent="0.25">
      <c r="A680" s="228" t="s">
        <v>142</v>
      </c>
      <c r="B680" s="199" t="s">
        <v>331</v>
      </c>
      <c r="C680" s="199" t="s">
        <v>195</v>
      </c>
      <c r="D680" s="199" t="s">
        <v>252</v>
      </c>
      <c r="E680" s="200" t="s">
        <v>348</v>
      </c>
      <c r="F680" s="214"/>
      <c r="G680" s="214"/>
      <c r="H680" s="214"/>
      <c r="I680" s="215">
        <v>1</v>
      </c>
      <c r="J680" s="215">
        <v>1</v>
      </c>
      <c r="K680" s="88">
        <v>42156</v>
      </c>
      <c r="L680" s="250"/>
      <c r="M680" s="253"/>
      <c r="U680" s="218">
        <v>3</v>
      </c>
      <c r="V680" s="19" t="s">
        <v>244</v>
      </c>
      <c r="W680" s="19"/>
      <c r="X680" s="241"/>
    </row>
    <row r="681" spans="1:24" ht="30" x14ac:dyDescent="0.25">
      <c r="A681" s="228" t="s">
        <v>142</v>
      </c>
      <c r="B681" s="199" t="s">
        <v>331</v>
      </c>
      <c r="C681" s="199" t="s">
        <v>195</v>
      </c>
      <c r="D681" s="199" t="s">
        <v>259</v>
      </c>
      <c r="E681" s="200" t="s">
        <v>0</v>
      </c>
      <c r="F681" s="214"/>
      <c r="G681" s="214"/>
      <c r="H681" s="214"/>
      <c r="I681" s="215">
        <v>2</v>
      </c>
      <c r="J681" s="215">
        <v>2</v>
      </c>
      <c r="K681" s="88">
        <v>42156</v>
      </c>
      <c r="L681" s="250"/>
      <c r="M681" s="253"/>
      <c r="U681" s="218">
        <v>55</v>
      </c>
      <c r="V681" s="19" t="s">
        <v>244</v>
      </c>
      <c r="W681" s="19"/>
      <c r="X681" s="241"/>
    </row>
    <row r="682" spans="1:24" ht="45" x14ac:dyDescent="0.25">
      <c r="A682" s="227" t="s">
        <v>142</v>
      </c>
      <c r="B682" s="167" t="s">
        <v>331</v>
      </c>
      <c r="C682" s="167" t="s">
        <v>195</v>
      </c>
      <c r="D682" s="167" t="s">
        <v>247</v>
      </c>
      <c r="E682" s="50" t="s">
        <v>34</v>
      </c>
      <c r="F682" s="214"/>
      <c r="G682" s="214"/>
      <c r="H682" s="214"/>
      <c r="I682" s="215">
        <v>1</v>
      </c>
      <c r="J682" s="215">
        <v>1</v>
      </c>
      <c r="K682" s="88">
        <v>42156</v>
      </c>
      <c r="L682" s="250"/>
      <c r="M682" s="253"/>
      <c r="U682" s="218">
        <v>56</v>
      </c>
      <c r="V682" s="19" t="s">
        <v>244</v>
      </c>
      <c r="W682" s="19"/>
      <c r="X682" s="241"/>
    </row>
    <row r="683" spans="1:24" ht="45" x14ac:dyDescent="0.25">
      <c r="A683" s="227" t="s">
        <v>142</v>
      </c>
      <c r="B683" s="167" t="s">
        <v>331</v>
      </c>
      <c r="C683" s="167" t="s">
        <v>195</v>
      </c>
      <c r="D683" s="167" t="s">
        <v>248</v>
      </c>
      <c r="E683" s="50" t="s">
        <v>34</v>
      </c>
      <c r="F683" s="141"/>
      <c r="G683" s="141"/>
      <c r="H683" s="141"/>
      <c r="I683" s="28">
        <v>2</v>
      </c>
      <c r="J683" s="28">
        <v>2</v>
      </c>
      <c r="K683" s="88">
        <v>42156</v>
      </c>
      <c r="L683" s="250"/>
      <c r="M683" s="253"/>
      <c r="U683" s="218">
        <v>56</v>
      </c>
      <c r="V683" s="19" t="s">
        <v>244</v>
      </c>
      <c r="W683" s="19"/>
      <c r="X683" s="241"/>
    </row>
    <row r="684" spans="1:24" ht="45" x14ac:dyDescent="0.25">
      <c r="A684" s="227" t="s">
        <v>142</v>
      </c>
      <c r="B684" s="167" t="s">
        <v>331</v>
      </c>
      <c r="C684" s="167" t="s">
        <v>195</v>
      </c>
      <c r="D684" s="167" t="s">
        <v>300</v>
      </c>
      <c r="E684" s="168" t="s">
        <v>35</v>
      </c>
      <c r="F684" s="141"/>
      <c r="G684" s="141"/>
      <c r="H684" s="141"/>
      <c r="I684" s="28">
        <v>2</v>
      </c>
      <c r="J684" s="28">
        <v>2</v>
      </c>
      <c r="K684" s="88">
        <v>42156</v>
      </c>
      <c r="L684" s="250"/>
      <c r="M684" s="253"/>
      <c r="U684" s="218">
        <v>57</v>
      </c>
      <c r="V684" s="19" t="s">
        <v>244</v>
      </c>
      <c r="W684" s="19"/>
      <c r="X684" s="241"/>
    </row>
    <row r="685" spans="1:24" ht="30" x14ac:dyDescent="0.25">
      <c r="A685" s="227" t="s">
        <v>142</v>
      </c>
      <c r="B685" s="167" t="s">
        <v>331</v>
      </c>
      <c r="C685" s="167" t="s">
        <v>195</v>
      </c>
      <c r="D685" s="167" t="s">
        <v>249</v>
      </c>
      <c r="E685" s="169" t="s">
        <v>36</v>
      </c>
      <c r="F685" s="141"/>
      <c r="G685" s="141"/>
      <c r="H685" s="141"/>
      <c r="I685" s="28">
        <v>1</v>
      </c>
      <c r="J685" s="28">
        <v>1</v>
      </c>
      <c r="K685" s="88">
        <v>42156</v>
      </c>
      <c r="L685" s="250"/>
      <c r="M685" s="253"/>
      <c r="U685" s="218">
        <v>58</v>
      </c>
      <c r="V685" s="19" t="s">
        <v>244</v>
      </c>
      <c r="W685" s="19"/>
      <c r="X685" s="241"/>
    </row>
    <row r="686" spans="1:24" ht="30" x14ac:dyDescent="0.25">
      <c r="A686" s="227" t="s">
        <v>142</v>
      </c>
      <c r="B686" s="167" t="s">
        <v>331</v>
      </c>
      <c r="C686" s="167" t="s">
        <v>195</v>
      </c>
      <c r="D686" s="167" t="s">
        <v>261</v>
      </c>
      <c r="E686" s="50" t="s">
        <v>37</v>
      </c>
      <c r="F686" s="141"/>
      <c r="G686" s="141"/>
      <c r="H686" s="141"/>
      <c r="I686" s="28">
        <v>1</v>
      </c>
      <c r="J686" s="28">
        <v>1</v>
      </c>
      <c r="K686" s="88">
        <v>42156</v>
      </c>
      <c r="L686" s="250"/>
      <c r="M686" s="253"/>
      <c r="U686" s="218">
        <v>59</v>
      </c>
      <c r="V686" s="19" t="s">
        <v>244</v>
      </c>
      <c r="W686" s="19"/>
      <c r="X686" s="241"/>
    </row>
    <row r="687" spans="1:24" ht="45.75" thickBot="1" x14ac:dyDescent="0.3">
      <c r="A687" s="229" t="s">
        <v>142</v>
      </c>
      <c r="B687" s="170" t="s">
        <v>331</v>
      </c>
      <c r="C687" s="170" t="s">
        <v>195</v>
      </c>
      <c r="D687" s="170" t="s">
        <v>262</v>
      </c>
      <c r="E687" s="171" t="s">
        <v>38</v>
      </c>
      <c r="F687" s="142"/>
      <c r="G687" s="142"/>
      <c r="H687" s="142"/>
      <c r="I687" s="39">
        <v>2</v>
      </c>
      <c r="J687" s="39">
        <v>2</v>
      </c>
      <c r="K687" s="89">
        <v>42156</v>
      </c>
      <c r="L687" s="251"/>
      <c r="M687" s="254"/>
      <c r="U687" s="218">
        <v>60</v>
      </c>
      <c r="V687" s="19" t="s">
        <v>244</v>
      </c>
      <c r="W687" s="19"/>
      <c r="X687" s="241"/>
    </row>
    <row r="688" spans="1:24" ht="30.75" thickTop="1" x14ac:dyDescent="0.25">
      <c r="A688" s="231" t="s">
        <v>142</v>
      </c>
      <c r="B688" s="158" t="s">
        <v>331</v>
      </c>
      <c r="C688" s="158" t="s">
        <v>196</v>
      </c>
      <c r="D688" s="158" t="s">
        <v>279</v>
      </c>
      <c r="E688" s="159" t="s">
        <v>348</v>
      </c>
      <c r="F688" s="134"/>
      <c r="G688" s="134"/>
      <c r="H688" s="134"/>
      <c r="I688" s="34">
        <v>1</v>
      </c>
      <c r="J688" s="34">
        <v>1</v>
      </c>
      <c r="K688" s="233">
        <v>42156</v>
      </c>
      <c r="L688" s="249" t="str">
        <f t="shared" ref="L688" si="69">CONCATENATE("Level"," ",MIN(I688:I698))</f>
        <v>Level 1</v>
      </c>
      <c r="M688" s="252" t="str">
        <f t="shared" ref="M688" si="70">CONCATENATE("Level"," ",MIN(J688:J698))</f>
        <v>Level 1</v>
      </c>
      <c r="U688" s="218">
        <v>11</v>
      </c>
      <c r="V688" s="19" t="s">
        <v>244</v>
      </c>
      <c r="W688" s="19"/>
      <c r="X688" s="241"/>
    </row>
    <row r="689" spans="1:24" ht="30" x14ac:dyDescent="0.25">
      <c r="A689" s="230" t="s">
        <v>142</v>
      </c>
      <c r="B689" s="190" t="s">
        <v>331</v>
      </c>
      <c r="C689" s="190" t="s">
        <v>196</v>
      </c>
      <c r="D689" s="190" t="s">
        <v>250</v>
      </c>
      <c r="E689" s="191" t="s">
        <v>348</v>
      </c>
      <c r="F689" s="212"/>
      <c r="G689" s="212"/>
      <c r="H689" s="212"/>
      <c r="I689" s="213">
        <v>1</v>
      </c>
      <c r="J689" s="213">
        <v>2</v>
      </c>
      <c r="K689" s="85">
        <v>42156</v>
      </c>
      <c r="L689" s="250"/>
      <c r="M689" s="253"/>
      <c r="U689" s="218">
        <v>1</v>
      </c>
      <c r="V689" s="19" t="s">
        <v>244</v>
      </c>
      <c r="W689" s="19"/>
      <c r="X689" s="241"/>
    </row>
    <row r="690" spans="1:24" ht="45" x14ac:dyDescent="0.25">
      <c r="A690" s="230" t="s">
        <v>142</v>
      </c>
      <c r="B690" s="190" t="s">
        <v>331</v>
      </c>
      <c r="C690" s="190" t="s">
        <v>196</v>
      </c>
      <c r="D690" s="190" t="s">
        <v>266</v>
      </c>
      <c r="E690" s="191" t="s">
        <v>348</v>
      </c>
      <c r="F690" s="212"/>
      <c r="G690" s="212"/>
      <c r="H690" s="212"/>
      <c r="I690" s="213">
        <v>2</v>
      </c>
      <c r="J690" s="213">
        <v>2</v>
      </c>
      <c r="K690" s="85">
        <v>42156</v>
      </c>
      <c r="L690" s="250"/>
      <c r="M690" s="253"/>
      <c r="U690" s="218">
        <v>2</v>
      </c>
      <c r="V690" s="19" t="s">
        <v>244</v>
      </c>
      <c r="W690" s="19"/>
      <c r="X690" s="241"/>
    </row>
    <row r="691" spans="1:24" ht="75" x14ac:dyDescent="0.25">
      <c r="A691" s="230" t="s">
        <v>142</v>
      </c>
      <c r="B691" s="190" t="s">
        <v>331</v>
      </c>
      <c r="C691" s="190" t="s">
        <v>196</v>
      </c>
      <c r="D691" s="190" t="s">
        <v>252</v>
      </c>
      <c r="E691" s="191" t="s">
        <v>348</v>
      </c>
      <c r="F691" s="212"/>
      <c r="G691" s="212"/>
      <c r="H691" s="212"/>
      <c r="I691" s="213">
        <v>2</v>
      </c>
      <c r="J691" s="213">
        <v>3</v>
      </c>
      <c r="K691" s="85">
        <v>42156</v>
      </c>
      <c r="L691" s="250"/>
      <c r="M691" s="253"/>
      <c r="U691" s="218">
        <v>3</v>
      </c>
      <c r="V691" s="19" t="s">
        <v>244</v>
      </c>
      <c r="W691" s="19"/>
      <c r="X691" s="241"/>
    </row>
    <row r="692" spans="1:24" ht="30" x14ac:dyDescent="0.25">
      <c r="A692" s="230" t="s">
        <v>142</v>
      </c>
      <c r="B692" s="190" t="s">
        <v>331</v>
      </c>
      <c r="C692" s="190" t="s">
        <v>196</v>
      </c>
      <c r="D692" s="190" t="s">
        <v>259</v>
      </c>
      <c r="E692" s="191" t="s">
        <v>0</v>
      </c>
      <c r="F692" s="212"/>
      <c r="G692" s="212"/>
      <c r="H692" s="212"/>
      <c r="I692" s="213">
        <v>1</v>
      </c>
      <c r="J692" s="213">
        <v>2</v>
      </c>
      <c r="K692" s="85">
        <v>42156</v>
      </c>
      <c r="L692" s="250"/>
      <c r="M692" s="253"/>
      <c r="U692" s="218">
        <v>55</v>
      </c>
      <c r="V692" s="19" t="s">
        <v>244</v>
      </c>
      <c r="W692" s="19"/>
      <c r="X692" s="241"/>
    </row>
    <row r="693" spans="1:24" ht="45" x14ac:dyDescent="0.25">
      <c r="A693" s="224" t="s">
        <v>142</v>
      </c>
      <c r="B693" s="160" t="s">
        <v>331</v>
      </c>
      <c r="C693" s="160" t="s">
        <v>196</v>
      </c>
      <c r="D693" s="160" t="s">
        <v>247</v>
      </c>
      <c r="E693" s="47" t="s">
        <v>34</v>
      </c>
      <c r="F693" s="212"/>
      <c r="G693" s="212"/>
      <c r="H693" s="212"/>
      <c r="I693" s="213">
        <v>2</v>
      </c>
      <c r="J693" s="213">
        <v>2</v>
      </c>
      <c r="K693" s="85">
        <v>42156</v>
      </c>
      <c r="L693" s="250"/>
      <c r="M693" s="253"/>
      <c r="U693" s="218">
        <v>56</v>
      </c>
      <c r="V693" s="19" t="s">
        <v>244</v>
      </c>
      <c r="W693" s="19"/>
      <c r="X693" s="241"/>
    </row>
    <row r="694" spans="1:24" ht="45" x14ac:dyDescent="0.25">
      <c r="A694" s="224" t="s">
        <v>142</v>
      </c>
      <c r="B694" s="160" t="s">
        <v>331</v>
      </c>
      <c r="C694" s="160" t="s">
        <v>196</v>
      </c>
      <c r="D694" s="160" t="s">
        <v>248</v>
      </c>
      <c r="E694" s="47" t="s">
        <v>34</v>
      </c>
      <c r="F694" s="135"/>
      <c r="G694" s="135"/>
      <c r="H694" s="135"/>
      <c r="I694" s="27">
        <v>2</v>
      </c>
      <c r="J694" s="27">
        <v>2</v>
      </c>
      <c r="K694" s="85">
        <v>42156</v>
      </c>
      <c r="L694" s="250"/>
      <c r="M694" s="253"/>
      <c r="U694" s="218">
        <v>56</v>
      </c>
      <c r="V694" s="19" t="s">
        <v>244</v>
      </c>
      <c r="W694" s="19"/>
      <c r="X694" s="241"/>
    </row>
    <row r="695" spans="1:24" ht="45" x14ac:dyDescent="0.25">
      <c r="A695" s="224" t="s">
        <v>142</v>
      </c>
      <c r="B695" s="160" t="s">
        <v>331</v>
      </c>
      <c r="C695" s="160" t="s">
        <v>196</v>
      </c>
      <c r="D695" s="160" t="s">
        <v>260</v>
      </c>
      <c r="E695" s="161" t="s">
        <v>35</v>
      </c>
      <c r="F695" s="135"/>
      <c r="G695" s="135"/>
      <c r="H695" s="135"/>
      <c r="I695" s="27">
        <v>1</v>
      </c>
      <c r="J695" s="27">
        <v>1</v>
      </c>
      <c r="K695" s="85">
        <v>42156</v>
      </c>
      <c r="L695" s="250"/>
      <c r="M695" s="253"/>
      <c r="U695" s="218">
        <v>57</v>
      </c>
      <c r="V695" s="19" t="s">
        <v>244</v>
      </c>
      <c r="W695" s="19"/>
      <c r="X695" s="241"/>
    </row>
    <row r="696" spans="1:24" ht="30" x14ac:dyDescent="0.25">
      <c r="A696" s="224" t="s">
        <v>142</v>
      </c>
      <c r="B696" s="160" t="s">
        <v>331</v>
      </c>
      <c r="C696" s="160" t="s">
        <v>196</v>
      </c>
      <c r="D696" s="160" t="s">
        <v>249</v>
      </c>
      <c r="E696" s="162" t="s">
        <v>36</v>
      </c>
      <c r="F696" s="135"/>
      <c r="G696" s="135"/>
      <c r="H696" s="135"/>
      <c r="I696" s="27">
        <v>1</v>
      </c>
      <c r="J696" s="27">
        <v>2</v>
      </c>
      <c r="K696" s="85">
        <v>42156</v>
      </c>
      <c r="L696" s="250"/>
      <c r="M696" s="253"/>
      <c r="U696" s="218">
        <v>58</v>
      </c>
      <c r="V696" s="19" t="s">
        <v>244</v>
      </c>
      <c r="W696" s="19"/>
      <c r="X696" s="241"/>
    </row>
    <row r="697" spans="1:24" ht="30" x14ac:dyDescent="0.25">
      <c r="A697" s="224" t="s">
        <v>142</v>
      </c>
      <c r="B697" s="160" t="s">
        <v>331</v>
      </c>
      <c r="C697" s="160" t="s">
        <v>196</v>
      </c>
      <c r="D697" s="160" t="s">
        <v>261</v>
      </c>
      <c r="E697" s="47" t="s">
        <v>37</v>
      </c>
      <c r="F697" s="135"/>
      <c r="G697" s="135"/>
      <c r="H697" s="135"/>
      <c r="I697" s="27">
        <v>2</v>
      </c>
      <c r="J697" s="27">
        <v>2</v>
      </c>
      <c r="K697" s="85">
        <v>42156</v>
      </c>
      <c r="L697" s="250"/>
      <c r="M697" s="253"/>
      <c r="U697" s="218">
        <v>59</v>
      </c>
      <c r="V697" s="19" t="s">
        <v>244</v>
      </c>
      <c r="W697" s="19"/>
      <c r="X697" s="241"/>
    </row>
    <row r="698" spans="1:24" ht="45.75" thickBot="1" x14ac:dyDescent="0.3">
      <c r="A698" s="225" t="s">
        <v>142</v>
      </c>
      <c r="B698" s="163" t="s">
        <v>331</v>
      </c>
      <c r="C698" s="163" t="s">
        <v>196</v>
      </c>
      <c r="D698" s="163" t="s">
        <v>262</v>
      </c>
      <c r="E698" s="164" t="s">
        <v>38</v>
      </c>
      <c r="F698" s="136"/>
      <c r="G698" s="136"/>
      <c r="H698" s="136"/>
      <c r="I698" s="35">
        <v>2</v>
      </c>
      <c r="J698" s="35">
        <v>2</v>
      </c>
      <c r="K698" s="86">
        <v>42156</v>
      </c>
      <c r="L698" s="251"/>
      <c r="M698" s="254"/>
      <c r="U698" s="218">
        <v>60</v>
      </c>
      <c r="V698" s="19" t="s">
        <v>244</v>
      </c>
      <c r="W698" s="19"/>
      <c r="X698" s="241"/>
    </row>
    <row r="699" spans="1:24" ht="30.75" thickTop="1" x14ac:dyDescent="0.25">
      <c r="A699" s="226" t="s">
        <v>142</v>
      </c>
      <c r="B699" s="165" t="s">
        <v>331</v>
      </c>
      <c r="C699" s="165" t="s">
        <v>197</v>
      </c>
      <c r="D699" s="165" t="s">
        <v>279</v>
      </c>
      <c r="E699" s="166" t="s">
        <v>348</v>
      </c>
      <c r="F699" s="140"/>
      <c r="G699" s="140"/>
      <c r="H699" s="140"/>
      <c r="I699" s="38">
        <v>1</v>
      </c>
      <c r="J699" s="38">
        <v>1</v>
      </c>
      <c r="K699" s="203">
        <v>42156</v>
      </c>
      <c r="L699" s="249" t="str">
        <f t="shared" ref="L699" si="71">CONCATENATE("Level"," ",MIN(I699:I709))</f>
        <v>Level 1</v>
      </c>
      <c r="M699" s="252" t="str">
        <f t="shared" ref="M699" si="72">CONCATENATE("Level"," ",MIN(J699:J709))</f>
        <v>Level 1</v>
      </c>
      <c r="U699" s="218">
        <v>11</v>
      </c>
      <c r="V699" s="19" t="s">
        <v>244</v>
      </c>
      <c r="W699" s="19"/>
      <c r="X699" s="241"/>
    </row>
    <row r="700" spans="1:24" ht="30" x14ac:dyDescent="0.25">
      <c r="A700" s="228" t="s">
        <v>142</v>
      </c>
      <c r="B700" s="199" t="s">
        <v>331</v>
      </c>
      <c r="C700" s="199" t="s">
        <v>197</v>
      </c>
      <c r="D700" s="199" t="s">
        <v>250</v>
      </c>
      <c r="E700" s="200" t="s">
        <v>348</v>
      </c>
      <c r="F700" s="214"/>
      <c r="G700" s="214"/>
      <c r="H700" s="214"/>
      <c r="I700" s="215">
        <v>2</v>
      </c>
      <c r="J700" s="215">
        <v>2</v>
      </c>
      <c r="K700" s="88">
        <v>42156</v>
      </c>
      <c r="L700" s="250"/>
      <c r="M700" s="253"/>
      <c r="U700" s="218">
        <v>1</v>
      </c>
      <c r="V700" s="19" t="s">
        <v>244</v>
      </c>
      <c r="W700" s="19"/>
      <c r="X700" s="241"/>
    </row>
    <row r="701" spans="1:24" ht="45" x14ac:dyDescent="0.25">
      <c r="A701" s="228" t="s">
        <v>142</v>
      </c>
      <c r="B701" s="199" t="s">
        <v>331</v>
      </c>
      <c r="C701" s="199" t="s">
        <v>197</v>
      </c>
      <c r="D701" s="199" t="s">
        <v>266</v>
      </c>
      <c r="E701" s="200" t="s">
        <v>348</v>
      </c>
      <c r="F701" s="214"/>
      <c r="G701" s="214"/>
      <c r="H701" s="214"/>
      <c r="I701" s="215">
        <v>2</v>
      </c>
      <c r="J701" s="215">
        <v>3</v>
      </c>
      <c r="K701" s="88">
        <v>42156</v>
      </c>
      <c r="L701" s="250"/>
      <c r="M701" s="253"/>
      <c r="U701" s="218">
        <v>2</v>
      </c>
      <c r="V701" s="19" t="s">
        <v>244</v>
      </c>
      <c r="W701" s="19"/>
      <c r="X701" s="241"/>
    </row>
    <row r="702" spans="1:24" ht="75" x14ac:dyDescent="0.25">
      <c r="A702" s="228" t="s">
        <v>142</v>
      </c>
      <c r="B702" s="199" t="s">
        <v>331</v>
      </c>
      <c r="C702" s="199" t="s">
        <v>197</v>
      </c>
      <c r="D702" s="199" t="s">
        <v>252</v>
      </c>
      <c r="E702" s="200" t="s">
        <v>348</v>
      </c>
      <c r="F702" s="214"/>
      <c r="G702" s="214"/>
      <c r="H702" s="214"/>
      <c r="I702" s="215">
        <v>1</v>
      </c>
      <c r="J702" s="215">
        <v>2</v>
      </c>
      <c r="K702" s="88">
        <v>42156</v>
      </c>
      <c r="L702" s="250"/>
      <c r="M702" s="253"/>
      <c r="U702" s="218">
        <v>3</v>
      </c>
      <c r="V702" s="19" t="s">
        <v>244</v>
      </c>
      <c r="W702" s="19"/>
      <c r="X702" s="241"/>
    </row>
    <row r="703" spans="1:24" ht="30" x14ac:dyDescent="0.25">
      <c r="A703" s="228" t="s">
        <v>142</v>
      </c>
      <c r="B703" s="199" t="s">
        <v>331</v>
      </c>
      <c r="C703" s="199" t="s">
        <v>197</v>
      </c>
      <c r="D703" s="199" t="s">
        <v>259</v>
      </c>
      <c r="E703" s="200" t="s">
        <v>0</v>
      </c>
      <c r="F703" s="214"/>
      <c r="G703" s="214"/>
      <c r="H703" s="214"/>
      <c r="I703" s="215">
        <v>1</v>
      </c>
      <c r="J703" s="215">
        <v>1</v>
      </c>
      <c r="K703" s="88">
        <v>42156</v>
      </c>
      <c r="L703" s="250"/>
      <c r="M703" s="253"/>
      <c r="U703" s="218">
        <v>55</v>
      </c>
      <c r="V703" s="19" t="s">
        <v>244</v>
      </c>
      <c r="W703" s="19"/>
      <c r="X703" s="241"/>
    </row>
    <row r="704" spans="1:24" ht="45" x14ac:dyDescent="0.25">
      <c r="A704" s="227" t="s">
        <v>142</v>
      </c>
      <c r="B704" s="167" t="s">
        <v>331</v>
      </c>
      <c r="C704" s="167" t="s">
        <v>197</v>
      </c>
      <c r="D704" s="167" t="s">
        <v>247</v>
      </c>
      <c r="E704" s="50" t="s">
        <v>34</v>
      </c>
      <c r="F704" s="214"/>
      <c r="G704" s="214"/>
      <c r="H704" s="214"/>
      <c r="I704" s="215">
        <v>1</v>
      </c>
      <c r="J704" s="215">
        <v>1</v>
      </c>
      <c r="K704" s="88">
        <v>42156</v>
      </c>
      <c r="L704" s="250"/>
      <c r="M704" s="253"/>
      <c r="U704" s="218">
        <v>56</v>
      </c>
      <c r="V704" s="19" t="s">
        <v>244</v>
      </c>
      <c r="W704" s="19"/>
      <c r="X704" s="241"/>
    </row>
    <row r="705" spans="1:24" ht="45" x14ac:dyDescent="0.25">
      <c r="A705" s="227" t="s">
        <v>142</v>
      </c>
      <c r="B705" s="167" t="s">
        <v>331</v>
      </c>
      <c r="C705" s="167" t="s">
        <v>197</v>
      </c>
      <c r="D705" s="167" t="s">
        <v>248</v>
      </c>
      <c r="E705" s="50" t="s">
        <v>34</v>
      </c>
      <c r="F705" s="141"/>
      <c r="G705" s="141"/>
      <c r="H705" s="141"/>
      <c r="I705" s="28">
        <v>1</v>
      </c>
      <c r="J705" s="28">
        <v>1</v>
      </c>
      <c r="K705" s="88">
        <v>42156</v>
      </c>
      <c r="L705" s="250"/>
      <c r="M705" s="253"/>
      <c r="U705" s="218">
        <v>56</v>
      </c>
      <c r="V705" s="19" t="s">
        <v>244</v>
      </c>
      <c r="W705" s="19"/>
      <c r="X705" s="241"/>
    </row>
    <row r="706" spans="1:24" ht="45" x14ac:dyDescent="0.25">
      <c r="A706" s="227" t="s">
        <v>142</v>
      </c>
      <c r="B706" s="167" t="s">
        <v>331</v>
      </c>
      <c r="C706" s="167" t="s">
        <v>197</v>
      </c>
      <c r="D706" s="167" t="s">
        <v>260</v>
      </c>
      <c r="E706" s="168" t="s">
        <v>35</v>
      </c>
      <c r="F706" s="141"/>
      <c r="G706" s="141"/>
      <c r="H706" s="141"/>
      <c r="I706" s="28">
        <v>1</v>
      </c>
      <c r="J706" s="28">
        <v>1</v>
      </c>
      <c r="K706" s="88">
        <v>42156</v>
      </c>
      <c r="L706" s="250"/>
      <c r="M706" s="253"/>
      <c r="U706" s="218">
        <v>57</v>
      </c>
      <c r="V706" s="19" t="s">
        <v>244</v>
      </c>
      <c r="W706" s="19"/>
      <c r="X706" s="241"/>
    </row>
    <row r="707" spans="1:24" ht="30" x14ac:dyDescent="0.25">
      <c r="A707" s="227" t="s">
        <v>142</v>
      </c>
      <c r="B707" s="167" t="s">
        <v>331</v>
      </c>
      <c r="C707" s="167" t="s">
        <v>197</v>
      </c>
      <c r="D707" s="167" t="s">
        <v>249</v>
      </c>
      <c r="E707" s="169" t="s">
        <v>36</v>
      </c>
      <c r="F707" s="141"/>
      <c r="G707" s="141"/>
      <c r="H707" s="141"/>
      <c r="I707" s="28">
        <v>1</v>
      </c>
      <c r="J707" s="28">
        <v>2</v>
      </c>
      <c r="K707" s="88">
        <v>42156</v>
      </c>
      <c r="L707" s="250"/>
      <c r="M707" s="253"/>
      <c r="U707" s="218">
        <v>58</v>
      </c>
      <c r="V707" s="19" t="s">
        <v>244</v>
      </c>
      <c r="W707" s="19"/>
      <c r="X707" s="241"/>
    </row>
    <row r="708" spans="1:24" ht="30" x14ac:dyDescent="0.25">
      <c r="A708" s="227" t="s">
        <v>142</v>
      </c>
      <c r="B708" s="167" t="s">
        <v>331</v>
      </c>
      <c r="C708" s="167" t="s">
        <v>197</v>
      </c>
      <c r="D708" s="167" t="s">
        <v>261</v>
      </c>
      <c r="E708" s="50" t="s">
        <v>37</v>
      </c>
      <c r="F708" s="141"/>
      <c r="G708" s="141"/>
      <c r="H708" s="141"/>
      <c r="I708" s="28">
        <v>2</v>
      </c>
      <c r="J708" s="28">
        <v>2</v>
      </c>
      <c r="K708" s="88">
        <v>42156</v>
      </c>
      <c r="L708" s="250"/>
      <c r="M708" s="253"/>
      <c r="U708" s="218">
        <v>59</v>
      </c>
      <c r="V708" s="19" t="s">
        <v>244</v>
      </c>
      <c r="W708" s="19"/>
      <c r="X708" s="241"/>
    </row>
    <row r="709" spans="1:24" ht="45.75" thickBot="1" x14ac:dyDescent="0.3">
      <c r="A709" s="229" t="s">
        <v>142</v>
      </c>
      <c r="B709" s="170" t="s">
        <v>331</v>
      </c>
      <c r="C709" s="170" t="s">
        <v>197</v>
      </c>
      <c r="D709" s="170" t="s">
        <v>262</v>
      </c>
      <c r="E709" s="171" t="s">
        <v>38</v>
      </c>
      <c r="F709" s="142"/>
      <c r="G709" s="142"/>
      <c r="H709" s="142"/>
      <c r="I709" s="39">
        <v>2</v>
      </c>
      <c r="J709" s="39">
        <v>2</v>
      </c>
      <c r="K709" s="89">
        <v>42156</v>
      </c>
      <c r="L709" s="251"/>
      <c r="M709" s="254"/>
      <c r="U709" s="218">
        <v>60</v>
      </c>
      <c r="V709" s="19" t="s">
        <v>244</v>
      </c>
      <c r="W709" s="19"/>
      <c r="X709" s="241"/>
    </row>
    <row r="710" spans="1:24" ht="30.75" thickTop="1" x14ac:dyDescent="0.25">
      <c r="A710" s="231" t="s">
        <v>142</v>
      </c>
      <c r="B710" s="158" t="s">
        <v>331</v>
      </c>
      <c r="C710" s="158" t="s">
        <v>198</v>
      </c>
      <c r="D710" s="158" t="s">
        <v>250</v>
      </c>
      <c r="E710" s="159" t="s">
        <v>348</v>
      </c>
      <c r="F710" s="134"/>
      <c r="G710" s="134"/>
      <c r="H710" s="134"/>
      <c r="I710" s="34">
        <v>2</v>
      </c>
      <c r="J710" s="34">
        <v>3</v>
      </c>
      <c r="K710" s="233">
        <v>42156</v>
      </c>
      <c r="L710" s="249" t="str">
        <f>CONCATENATE("Level"," ",MIN(I710:I720))</f>
        <v>Level 1</v>
      </c>
      <c r="M710" s="252" t="str">
        <f>CONCATENATE("Level"," ",MIN(J710:J720))</f>
        <v>Level 2</v>
      </c>
      <c r="U710" s="218">
        <v>1</v>
      </c>
      <c r="V710" s="19" t="s">
        <v>244</v>
      </c>
      <c r="W710" s="19"/>
      <c r="X710" s="241"/>
    </row>
    <row r="711" spans="1:24" ht="45" x14ac:dyDescent="0.25">
      <c r="A711" s="230" t="s">
        <v>142</v>
      </c>
      <c r="B711" s="190" t="s">
        <v>331</v>
      </c>
      <c r="C711" s="190" t="s">
        <v>198</v>
      </c>
      <c r="D711" s="190" t="s">
        <v>266</v>
      </c>
      <c r="E711" s="191" t="s">
        <v>348</v>
      </c>
      <c r="F711" s="212"/>
      <c r="G711" s="212"/>
      <c r="H711" s="212"/>
      <c r="I711" s="213">
        <v>2</v>
      </c>
      <c r="J711" s="213">
        <v>3</v>
      </c>
      <c r="K711" s="85">
        <v>42156</v>
      </c>
      <c r="L711" s="250"/>
      <c r="M711" s="253"/>
      <c r="U711" s="218">
        <v>2</v>
      </c>
      <c r="V711" s="19" t="s">
        <v>244</v>
      </c>
      <c r="W711" s="19"/>
      <c r="X711" s="241"/>
    </row>
    <row r="712" spans="1:24" ht="45" x14ac:dyDescent="0.25">
      <c r="A712" s="230" t="s">
        <v>142</v>
      </c>
      <c r="B712" s="190" t="s">
        <v>331</v>
      </c>
      <c r="C712" s="190" t="s">
        <v>198</v>
      </c>
      <c r="D712" s="190" t="s">
        <v>332</v>
      </c>
      <c r="E712" s="191" t="s">
        <v>348</v>
      </c>
      <c r="F712" s="212"/>
      <c r="G712" s="212"/>
      <c r="H712" s="212"/>
      <c r="I712" s="213">
        <v>2</v>
      </c>
      <c r="J712" s="213">
        <v>2</v>
      </c>
      <c r="K712" s="85">
        <v>42156</v>
      </c>
      <c r="L712" s="250"/>
      <c r="M712" s="253"/>
      <c r="U712" s="218">
        <v>44</v>
      </c>
      <c r="V712" s="19" t="s">
        <v>244</v>
      </c>
      <c r="W712" s="19"/>
      <c r="X712" s="241"/>
    </row>
    <row r="713" spans="1:24" ht="60" x14ac:dyDescent="0.25">
      <c r="A713" s="230" t="s">
        <v>142</v>
      </c>
      <c r="B713" s="190" t="s">
        <v>331</v>
      </c>
      <c r="C713" s="190" t="s">
        <v>198</v>
      </c>
      <c r="D713" s="190" t="s">
        <v>257</v>
      </c>
      <c r="E713" s="191" t="s">
        <v>348</v>
      </c>
      <c r="F713" s="212"/>
      <c r="G713" s="212"/>
      <c r="H713" s="212"/>
      <c r="I713" s="213">
        <v>1</v>
      </c>
      <c r="J713" s="213">
        <v>2</v>
      </c>
      <c r="K713" s="85">
        <v>42156</v>
      </c>
      <c r="L713" s="250"/>
      <c r="M713" s="253"/>
      <c r="U713" s="218">
        <v>4</v>
      </c>
      <c r="V713" s="19" t="s">
        <v>244</v>
      </c>
      <c r="W713" s="19"/>
      <c r="X713" s="241"/>
    </row>
    <row r="714" spans="1:24" ht="75" x14ac:dyDescent="0.25">
      <c r="A714" s="230" t="s">
        <v>142</v>
      </c>
      <c r="B714" s="190" t="s">
        <v>331</v>
      </c>
      <c r="C714" s="190" t="s">
        <v>198</v>
      </c>
      <c r="D714" s="190" t="s">
        <v>252</v>
      </c>
      <c r="E714" s="191" t="s">
        <v>348</v>
      </c>
      <c r="F714" s="212"/>
      <c r="G714" s="212"/>
      <c r="H714" s="212"/>
      <c r="I714" s="213">
        <v>1</v>
      </c>
      <c r="J714" s="213">
        <v>2</v>
      </c>
      <c r="K714" s="85">
        <v>42156</v>
      </c>
      <c r="L714" s="250"/>
      <c r="M714" s="253"/>
      <c r="U714" s="218">
        <v>3</v>
      </c>
      <c r="V714" s="19" t="s">
        <v>244</v>
      </c>
      <c r="W714" s="19"/>
      <c r="X714" s="241"/>
    </row>
    <row r="715" spans="1:24" ht="30" x14ac:dyDescent="0.25">
      <c r="A715" s="230" t="s">
        <v>142</v>
      </c>
      <c r="B715" s="190" t="s">
        <v>331</v>
      </c>
      <c r="C715" s="190" t="s">
        <v>198</v>
      </c>
      <c r="D715" s="190" t="s">
        <v>259</v>
      </c>
      <c r="E715" s="191" t="s">
        <v>0</v>
      </c>
      <c r="F715" s="212"/>
      <c r="G715" s="212"/>
      <c r="H715" s="212"/>
      <c r="I715" s="213">
        <v>2</v>
      </c>
      <c r="J715" s="213">
        <v>2</v>
      </c>
      <c r="K715" s="85">
        <v>42156</v>
      </c>
      <c r="L715" s="250"/>
      <c r="M715" s="253"/>
      <c r="U715" s="218">
        <v>55</v>
      </c>
      <c r="V715" s="19" t="s">
        <v>244</v>
      </c>
      <c r="W715" s="19"/>
      <c r="X715" s="241"/>
    </row>
    <row r="716" spans="1:24" ht="45" x14ac:dyDescent="0.25">
      <c r="A716" s="224" t="s">
        <v>142</v>
      </c>
      <c r="B716" s="160" t="s">
        <v>331</v>
      </c>
      <c r="C716" s="160" t="s">
        <v>198</v>
      </c>
      <c r="D716" s="160" t="s">
        <v>247</v>
      </c>
      <c r="E716" s="47" t="s">
        <v>34</v>
      </c>
      <c r="F716" s="212"/>
      <c r="G716" s="212"/>
      <c r="H716" s="212"/>
      <c r="I716" s="213">
        <v>2</v>
      </c>
      <c r="J716" s="213">
        <v>3</v>
      </c>
      <c r="K716" s="85">
        <v>42156</v>
      </c>
      <c r="L716" s="250"/>
      <c r="M716" s="253"/>
      <c r="U716" s="218">
        <v>56</v>
      </c>
      <c r="V716" s="19" t="s">
        <v>244</v>
      </c>
      <c r="W716" s="19"/>
      <c r="X716" s="241"/>
    </row>
    <row r="717" spans="1:24" ht="45" x14ac:dyDescent="0.25">
      <c r="A717" s="224" t="s">
        <v>142</v>
      </c>
      <c r="B717" s="160" t="s">
        <v>331</v>
      </c>
      <c r="C717" s="160" t="s">
        <v>198</v>
      </c>
      <c r="D717" s="160" t="s">
        <v>260</v>
      </c>
      <c r="E717" s="161" t="s">
        <v>35</v>
      </c>
      <c r="F717" s="135"/>
      <c r="G717" s="135"/>
      <c r="H717" s="135"/>
      <c r="I717" s="27">
        <v>2</v>
      </c>
      <c r="J717" s="27">
        <v>2</v>
      </c>
      <c r="K717" s="85">
        <v>42156</v>
      </c>
      <c r="L717" s="250"/>
      <c r="M717" s="253"/>
      <c r="U717" s="218">
        <v>57</v>
      </c>
      <c r="V717" s="19" t="s">
        <v>244</v>
      </c>
      <c r="W717" s="19"/>
      <c r="X717" s="241"/>
    </row>
    <row r="718" spans="1:24" ht="30" x14ac:dyDescent="0.25">
      <c r="A718" s="224" t="s">
        <v>142</v>
      </c>
      <c r="B718" s="160" t="s">
        <v>331</v>
      </c>
      <c r="C718" s="160" t="s">
        <v>198</v>
      </c>
      <c r="D718" s="160" t="s">
        <v>249</v>
      </c>
      <c r="E718" s="162" t="s">
        <v>36</v>
      </c>
      <c r="F718" s="135"/>
      <c r="G718" s="135"/>
      <c r="H718" s="135"/>
      <c r="I718" s="27">
        <v>2</v>
      </c>
      <c r="J718" s="27">
        <v>3</v>
      </c>
      <c r="K718" s="85">
        <v>42156</v>
      </c>
      <c r="L718" s="250"/>
      <c r="M718" s="253"/>
      <c r="U718" s="218">
        <v>58</v>
      </c>
      <c r="V718" s="19" t="s">
        <v>244</v>
      </c>
      <c r="W718" s="19"/>
      <c r="X718" s="241"/>
    </row>
    <row r="719" spans="1:24" ht="30" x14ac:dyDescent="0.25">
      <c r="A719" s="224" t="s">
        <v>142</v>
      </c>
      <c r="B719" s="160" t="s">
        <v>331</v>
      </c>
      <c r="C719" s="160" t="s">
        <v>198</v>
      </c>
      <c r="D719" s="160" t="s">
        <v>261</v>
      </c>
      <c r="E719" s="47" t="s">
        <v>37</v>
      </c>
      <c r="F719" s="135"/>
      <c r="G719" s="135"/>
      <c r="H719" s="135"/>
      <c r="I719" s="27">
        <v>2</v>
      </c>
      <c r="J719" s="27">
        <v>2</v>
      </c>
      <c r="K719" s="85">
        <v>42156</v>
      </c>
      <c r="L719" s="250"/>
      <c r="M719" s="253"/>
      <c r="U719" s="218">
        <v>59</v>
      </c>
      <c r="V719" s="19" t="s">
        <v>244</v>
      </c>
      <c r="W719" s="19"/>
      <c r="X719" s="241"/>
    </row>
    <row r="720" spans="1:24" ht="45.75" thickBot="1" x14ac:dyDescent="0.3">
      <c r="A720" s="225" t="s">
        <v>142</v>
      </c>
      <c r="B720" s="163" t="s">
        <v>331</v>
      </c>
      <c r="C720" s="163" t="s">
        <v>198</v>
      </c>
      <c r="D720" s="163" t="s">
        <v>262</v>
      </c>
      <c r="E720" s="164" t="s">
        <v>38</v>
      </c>
      <c r="F720" s="136"/>
      <c r="G720" s="136"/>
      <c r="H720" s="136"/>
      <c r="I720" s="35">
        <v>2</v>
      </c>
      <c r="J720" s="35">
        <v>2</v>
      </c>
      <c r="K720" s="86">
        <v>42156</v>
      </c>
      <c r="L720" s="251"/>
      <c r="M720" s="254"/>
      <c r="U720" s="218">
        <v>60</v>
      </c>
      <c r="V720" s="19" t="s">
        <v>244</v>
      </c>
      <c r="W720" s="19"/>
      <c r="X720" s="241"/>
    </row>
    <row r="721" spans="1:24" ht="30.75" thickTop="1" x14ac:dyDescent="0.25">
      <c r="A721" s="226" t="s">
        <v>143</v>
      </c>
      <c r="B721" s="165" t="s">
        <v>333</v>
      </c>
      <c r="C721" s="165" t="s">
        <v>199</v>
      </c>
      <c r="D721" s="165" t="s">
        <v>250</v>
      </c>
      <c r="E721" s="166" t="s">
        <v>348</v>
      </c>
      <c r="F721" s="140"/>
      <c r="G721" s="140"/>
      <c r="H721" s="140"/>
      <c r="I721" s="38">
        <v>2</v>
      </c>
      <c r="J721" s="38">
        <v>3</v>
      </c>
      <c r="K721" s="203">
        <v>42156</v>
      </c>
      <c r="L721" s="249" t="str">
        <f t="shared" ref="L721" si="73">CONCATENATE("Level"," ",MIN(I721:I732))</f>
        <v>Level 1</v>
      </c>
      <c r="M721" s="252" t="str">
        <f t="shared" ref="M721" si="74">CONCATENATE("Level"," ",MIN(J721:J732))</f>
        <v>Level 2</v>
      </c>
      <c r="U721" s="218">
        <v>1</v>
      </c>
      <c r="V721" s="19" t="s">
        <v>244</v>
      </c>
      <c r="W721" s="19" t="s">
        <v>209</v>
      </c>
      <c r="X721" s="240"/>
    </row>
    <row r="722" spans="1:24" ht="30" x14ac:dyDescent="0.25">
      <c r="A722" s="228" t="s">
        <v>143</v>
      </c>
      <c r="B722" s="199" t="s">
        <v>333</v>
      </c>
      <c r="C722" s="199" t="s">
        <v>199</v>
      </c>
      <c r="D722" s="199" t="s">
        <v>334</v>
      </c>
      <c r="E722" s="200" t="s">
        <v>348</v>
      </c>
      <c r="F722" s="214"/>
      <c r="G722" s="214"/>
      <c r="H722" s="214"/>
      <c r="I722" s="215">
        <v>2</v>
      </c>
      <c r="J722" s="215">
        <v>3</v>
      </c>
      <c r="K722" s="88">
        <v>42156</v>
      </c>
      <c r="L722" s="250"/>
      <c r="M722" s="253"/>
      <c r="U722" s="218">
        <v>45</v>
      </c>
      <c r="V722" s="19" t="s">
        <v>244</v>
      </c>
      <c r="W722" s="19" t="s">
        <v>209</v>
      </c>
      <c r="X722" s="240"/>
    </row>
    <row r="723" spans="1:24" ht="45" x14ac:dyDescent="0.25">
      <c r="A723" s="228" t="s">
        <v>143</v>
      </c>
      <c r="B723" s="199" t="s">
        <v>333</v>
      </c>
      <c r="C723" s="199" t="s">
        <v>199</v>
      </c>
      <c r="D723" s="199" t="s">
        <v>335</v>
      </c>
      <c r="E723" s="200" t="s">
        <v>348</v>
      </c>
      <c r="F723" s="214"/>
      <c r="G723" s="214"/>
      <c r="H723" s="214"/>
      <c r="I723" s="215">
        <v>2</v>
      </c>
      <c r="J723" s="215">
        <v>2</v>
      </c>
      <c r="K723" s="88">
        <v>42156</v>
      </c>
      <c r="L723" s="250"/>
      <c r="M723" s="253"/>
      <c r="U723" s="218">
        <v>46</v>
      </c>
      <c r="V723" s="19" t="s">
        <v>244</v>
      </c>
      <c r="W723" s="19" t="s">
        <v>209</v>
      </c>
      <c r="X723" s="240"/>
    </row>
    <row r="724" spans="1:24" ht="45" x14ac:dyDescent="0.25">
      <c r="A724" s="228" t="s">
        <v>143</v>
      </c>
      <c r="B724" s="199" t="s">
        <v>333</v>
      </c>
      <c r="C724" s="199" t="s">
        <v>199</v>
      </c>
      <c r="D724" s="199" t="s">
        <v>266</v>
      </c>
      <c r="E724" s="200" t="s">
        <v>348</v>
      </c>
      <c r="F724" s="214"/>
      <c r="G724" s="214"/>
      <c r="H724" s="214"/>
      <c r="I724" s="215">
        <v>2</v>
      </c>
      <c r="J724" s="215">
        <v>2</v>
      </c>
      <c r="K724" s="88">
        <v>42156</v>
      </c>
      <c r="L724" s="250"/>
      <c r="M724" s="253"/>
      <c r="U724" s="218">
        <v>2</v>
      </c>
      <c r="V724" s="19" t="s">
        <v>244</v>
      </c>
      <c r="W724" s="19" t="s">
        <v>209</v>
      </c>
      <c r="X724" s="240"/>
    </row>
    <row r="725" spans="1:24" ht="75" x14ac:dyDescent="0.25">
      <c r="A725" s="228" t="s">
        <v>143</v>
      </c>
      <c r="B725" s="199" t="s">
        <v>333</v>
      </c>
      <c r="C725" s="199" t="s">
        <v>199</v>
      </c>
      <c r="D725" s="199" t="s">
        <v>252</v>
      </c>
      <c r="E725" s="200" t="s">
        <v>348</v>
      </c>
      <c r="F725" s="214"/>
      <c r="G725" s="214"/>
      <c r="H725" s="214"/>
      <c r="I725" s="215">
        <v>2</v>
      </c>
      <c r="J725" s="215">
        <v>3</v>
      </c>
      <c r="K725" s="88">
        <v>42156</v>
      </c>
      <c r="L725" s="250"/>
      <c r="M725" s="253"/>
      <c r="U725" s="218">
        <v>3</v>
      </c>
      <c r="V725" s="19" t="s">
        <v>244</v>
      </c>
      <c r="W725" s="19" t="s">
        <v>209</v>
      </c>
      <c r="X725" s="240"/>
    </row>
    <row r="726" spans="1:24" ht="30" x14ac:dyDescent="0.25">
      <c r="A726" s="228" t="s">
        <v>143</v>
      </c>
      <c r="B726" s="199" t="s">
        <v>333</v>
      </c>
      <c r="C726" s="199" t="s">
        <v>199</v>
      </c>
      <c r="D726" s="199" t="s">
        <v>259</v>
      </c>
      <c r="E726" s="200" t="s">
        <v>0</v>
      </c>
      <c r="F726" s="214"/>
      <c r="G726" s="214"/>
      <c r="H726" s="214"/>
      <c r="I726" s="215">
        <v>1</v>
      </c>
      <c r="J726" s="215">
        <v>2</v>
      </c>
      <c r="K726" s="88">
        <v>42156</v>
      </c>
      <c r="L726" s="250"/>
      <c r="M726" s="253"/>
      <c r="U726" s="218">
        <v>55</v>
      </c>
      <c r="V726" s="19" t="s">
        <v>244</v>
      </c>
      <c r="W726" s="19" t="s">
        <v>209</v>
      </c>
      <c r="X726" s="240"/>
    </row>
    <row r="727" spans="1:24" ht="45" x14ac:dyDescent="0.25">
      <c r="A727" s="227" t="s">
        <v>143</v>
      </c>
      <c r="B727" s="167" t="s">
        <v>333</v>
      </c>
      <c r="C727" s="167" t="s">
        <v>199</v>
      </c>
      <c r="D727" s="167" t="s">
        <v>247</v>
      </c>
      <c r="E727" s="50" t="s">
        <v>34</v>
      </c>
      <c r="F727" s="214"/>
      <c r="G727" s="214"/>
      <c r="H727" s="214"/>
      <c r="I727" s="215">
        <v>2</v>
      </c>
      <c r="J727" s="215">
        <v>2</v>
      </c>
      <c r="K727" s="88">
        <v>42156</v>
      </c>
      <c r="L727" s="250"/>
      <c r="M727" s="253"/>
      <c r="U727" s="218">
        <v>56</v>
      </c>
      <c r="V727" s="19" t="s">
        <v>244</v>
      </c>
      <c r="W727" s="19" t="s">
        <v>209</v>
      </c>
      <c r="X727" s="240"/>
    </row>
    <row r="728" spans="1:24" ht="45" x14ac:dyDescent="0.25">
      <c r="A728" s="227" t="s">
        <v>143</v>
      </c>
      <c r="B728" s="167" t="s">
        <v>333</v>
      </c>
      <c r="C728" s="167" t="s">
        <v>199</v>
      </c>
      <c r="D728" s="167" t="s">
        <v>248</v>
      </c>
      <c r="E728" s="50" t="s">
        <v>34</v>
      </c>
      <c r="F728" s="141"/>
      <c r="G728" s="141"/>
      <c r="H728" s="141"/>
      <c r="I728" s="28">
        <v>2</v>
      </c>
      <c r="J728" s="28">
        <v>2</v>
      </c>
      <c r="K728" s="88">
        <v>42156</v>
      </c>
      <c r="L728" s="250"/>
      <c r="M728" s="253"/>
      <c r="U728" s="218">
        <v>56</v>
      </c>
      <c r="V728" s="19" t="s">
        <v>244</v>
      </c>
      <c r="W728" s="19" t="s">
        <v>209</v>
      </c>
      <c r="X728" s="240"/>
    </row>
    <row r="729" spans="1:24" ht="45" x14ac:dyDescent="0.25">
      <c r="A729" s="227" t="s">
        <v>143</v>
      </c>
      <c r="B729" s="167" t="s">
        <v>333</v>
      </c>
      <c r="C729" s="167" t="s">
        <v>199</v>
      </c>
      <c r="D729" s="167" t="s">
        <v>260</v>
      </c>
      <c r="E729" s="168" t="s">
        <v>35</v>
      </c>
      <c r="F729" s="141"/>
      <c r="G729" s="141"/>
      <c r="H729" s="141"/>
      <c r="I729" s="28">
        <v>2</v>
      </c>
      <c r="J729" s="28">
        <v>2</v>
      </c>
      <c r="K729" s="88">
        <v>42156</v>
      </c>
      <c r="L729" s="250"/>
      <c r="M729" s="253"/>
      <c r="U729" s="218">
        <v>57</v>
      </c>
      <c r="V729" s="19" t="s">
        <v>244</v>
      </c>
      <c r="W729" s="19" t="s">
        <v>209</v>
      </c>
      <c r="X729" s="240"/>
    </row>
    <row r="730" spans="1:24" ht="30" x14ac:dyDescent="0.25">
      <c r="A730" s="227" t="s">
        <v>143</v>
      </c>
      <c r="B730" s="167" t="s">
        <v>333</v>
      </c>
      <c r="C730" s="167" t="s">
        <v>199</v>
      </c>
      <c r="D730" s="167" t="s">
        <v>249</v>
      </c>
      <c r="E730" s="169" t="s">
        <v>36</v>
      </c>
      <c r="F730" s="141"/>
      <c r="G730" s="141"/>
      <c r="H730" s="141"/>
      <c r="I730" s="28">
        <v>2</v>
      </c>
      <c r="J730" s="28">
        <v>2</v>
      </c>
      <c r="K730" s="88">
        <v>42156</v>
      </c>
      <c r="L730" s="250"/>
      <c r="M730" s="253"/>
      <c r="U730" s="218">
        <v>58</v>
      </c>
      <c r="V730" s="19" t="s">
        <v>244</v>
      </c>
      <c r="W730" s="19" t="s">
        <v>209</v>
      </c>
      <c r="X730" s="240"/>
    </row>
    <row r="731" spans="1:24" ht="30" x14ac:dyDescent="0.25">
      <c r="A731" s="227" t="s">
        <v>143</v>
      </c>
      <c r="B731" s="167" t="s">
        <v>333</v>
      </c>
      <c r="C731" s="167" t="s">
        <v>199</v>
      </c>
      <c r="D731" s="167" t="s">
        <v>261</v>
      </c>
      <c r="E731" s="50" t="s">
        <v>37</v>
      </c>
      <c r="F731" s="141"/>
      <c r="G731" s="141"/>
      <c r="H731" s="141"/>
      <c r="I731" s="28">
        <v>2</v>
      </c>
      <c r="J731" s="28">
        <v>2</v>
      </c>
      <c r="K731" s="88">
        <v>42156</v>
      </c>
      <c r="L731" s="250"/>
      <c r="M731" s="253"/>
      <c r="U731" s="218">
        <v>59</v>
      </c>
      <c r="V731" s="19" t="s">
        <v>244</v>
      </c>
      <c r="W731" s="19" t="s">
        <v>209</v>
      </c>
      <c r="X731" s="240"/>
    </row>
    <row r="732" spans="1:24" ht="45.75" thickBot="1" x14ac:dyDescent="0.3">
      <c r="A732" s="229" t="s">
        <v>143</v>
      </c>
      <c r="B732" s="170" t="s">
        <v>333</v>
      </c>
      <c r="C732" s="170" t="s">
        <v>199</v>
      </c>
      <c r="D732" s="170" t="s">
        <v>262</v>
      </c>
      <c r="E732" s="171" t="s">
        <v>38</v>
      </c>
      <c r="F732" s="142"/>
      <c r="G732" s="142"/>
      <c r="H732" s="142"/>
      <c r="I732" s="39">
        <v>1</v>
      </c>
      <c r="J732" s="39">
        <v>2</v>
      </c>
      <c r="K732" s="89">
        <v>42156</v>
      </c>
      <c r="L732" s="251"/>
      <c r="M732" s="254"/>
      <c r="U732" s="218">
        <v>60</v>
      </c>
      <c r="V732" s="19" t="s">
        <v>244</v>
      </c>
      <c r="W732" s="19" t="s">
        <v>209</v>
      </c>
      <c r="X732" s="240"/>
    </row>
    <row r="733" spans="1:24" ht="30.75" thickTop="1" x14ac:dyDescent="0.25">
      <c r="A733" s="231" t="s">
        <v>143</v>
      </c>
      <c r="B733" s="158" t="s">
        <v>333</v>
      </c>
      <c r="C733" s="158" t="s">
        <v>200</v>
      </c>
      <c r="D733" s="158" t="s">
        <v>250</v>
      </c>
      <c r="E733" s="159" t="s">
        <v>348</v>
      </c>
      <c r="F733" s="134"/>
      <c r="G733" s="134"/>
      <c r="H733" s="134"/>
      <c r="I733" s="34">
        <v>2</v>
      </c>
      <c r="J733" s="34">
        <v>2</v>
      </c>
      <c r="K733" s="233">
        <v>42156</v>
      </c>
      <c r="L733" s="249" t="str">
        <f t="shared" ref="L733" si="75">CONCATENATE("Level"," ",MIN(I733:I744))</f>
        <v>Level 1</v>
      </c>
      <c r="M733" s="252" t="str">
        <f t="shared" ref="M733" si="76">CONCATENATE("Level"," ",MIN(J733:J744))</f>
        <v>Level 2</v>
      </c>
      <c r="U733" s="218">
        <v>1</v>
      </c>
      <c r="V733" s="19" t="s">
        <v>244</v>
      </c>
      <c r="W733" s="19"/>
      <c r="X733" s="241"/>
    </row>
    <row r="734" spans="1:24" ht="30" x14ac:dyDescent="0.25">
      <c r="A734" s="230" t="s">
        <v>143</v>
      </c>
      <c r="B734" s="190" t="s">
        <v>333</v>
      </c>
      <c r="C734" s="190" t="s">
        <v>200</v>
      </c>
      <c r="D734" s="190" t="s">
        <v>334</v>
      </c>
      <c r="E734" s="191" t="s">
        <v>348</v>
      </c>
      <c r="F734" s="212"/>
      <c r="G734" s="212"/>
      <c r="H734" s="212"/>
      <c r="I734" s="213">
        <v>3</v>
      </c>
      <c r="J734" s="213">
        <v>3</v>
      </c>
      <c r="K734" s="85">
        <v>42156</v>
      </c>
      <c r="L734" s="250"/>
      <c r="M734" s="253"/>
      <c r="U734" s="218">
        <v>45</v>
      </c>
      <c r="V734" s="19" t="s">
        <v>244</v>
      </c>
      <c r="W734" s="19"/>
      <c r="X734" s="241"/>
    </row>
    <row r="735" spans="1:24" ht="45" x14ac:dyDescent="0.25">
      <c r="A735" s="230" t="s">
        <v>143</v>
      </c>
      <c r="B735" s="190" t="s">
        <v>333</v>
      </c>
      <c r="C735" s="190" t="s">
        <v>200</v>
      </c>
      <c r="D735" s="190" t="s">
        <v>336</v>
      </c>
      <c r="E735" s="191" t="s">
        <v>348</v>
      </c>
      <c r="F735" s="212"/>
      <c r="G735" s="212"/>
      <c r="H735" s="212"/>
      <c r="I735" s="213">
        <v>2</v>
      </c>
      <c r="J735" s="213">
        <v>3</v>
      </c>
      <c r="K735" s="85">
        <v>42156</v>
      </c>
      <c r="L735" s="250"/>
      <c r="M735" s="253"/>
      <c r="U735" s="218">
        <v>47</v>
      </c>
      <c r="V735" s="19" t="s">
        <v>244</v>
      </c>
      <c r="W735" s="19"/>
      <c r="X735" s="241"/>
    </row>
    <row r="736" spans="1:24" ht="45" x14ac:dyDescent="0.25">
      <c r="A736" s="230" t="s">
        <v>143</v>
      </c>
      <c r="B736" s="190" t="s">
        <v>333</v>
      </c>
      <c r="C736" s="190" t="s">
        <v>200</v>
      </c>
      <c r="D736" s="190" t="s">
        <v>266</v>
      </c>
      <c r="E736" s="191" t="s">
        <v>348</v>
      </c>
      <c r="F736" s="212"/>
      <c r="G736" s="212"/>
      <c r="H736" s="212"/>
      <c r="I736" s="213">
        <v>1</v>
      </c>
      <c r="J736" s="213">
        <v>2</v>
      </c>
      <c r="K736" s="85">
        <v>42156</v>
      </c>
      <c r="L736" s="250"/>
      <c r="M736" s="253"/>
      <c r="U736" s="218">
        <v>2</v>
      </c>
      <c r="V736" s="19" t="s">
        <v>244</v>
      </c>
      <c r="W736" s="19"/>
      <c r="X736" s="241"/>
    </row>
    <row r="737" spans="1:24" ht="75" x14ac:dyDescent="0.25">
      <c r="A737" s="230" t="s">
        <v>143</v>
      </c>
      <c r="B737" s="190" t="s">
        <v>333</v>
      </c>
      <c r="C737" s="190" t="s">
        <v>200</v>
      </c>
      <c r="D737" s="190" t="s">
        <v>252</v>
      </c>
      <c r="E737" s="191" t="s">
        <v>348</v>
      </c>
      <c r="F737" s="212"/>
      <c r="G737" s="212"/>
      <c r="H737" s="212"/>
      <c r="I737" s="213">
        <v>2</v>
      </c>
      <c r="J737" s="213">
        <v>2</v>
      </c>
      <c r="K737" s="85">
        <v>42156</v>
      </c>
      <c r="L737" s="250"/>
      <c r="M737" s="253"/>
      <c r="U737" s="218">
        <v>3</v>
      </c>
      <c r="V737" s="19" t="s">
        <v>244</v>
      </c>
      <c r="W737" s="19"/>
      <c r="X737" s="241"/>
    </row>
    <row r="738" spans="1:24" ht="30" x14ac:dyDescent="0.25">
      <c r="A738" s="230" t="s">
        <v>143</v>
      </c>
      <c r="B738" s="190" t="s">
        <v>333</v>
      </c>
      <c r="C738" s="190" t="s">
        <v>200</v>
      </c>
      <c r="D738" s="190" t="s">
        <v>259</v>
      </c>
      <c r="E738" s="191" t="s">
        <v>0</v>
      </c>
      <c r="F738" s="212"/>
      <c r="G738" s="212"/>
      <c r="H738" s="212"/>
      <c r="I738" s="213">
        <v>1</v>
      </c>
      <c r="J738" s="213">
        <v>2</v>
      </c>
      <c r="K738" s="85">
        <v>42156</v>
      </c>
      <c r="L738" s="250"/>
      <c r="M738" s="253"/>
      <c r="U738" s="218">
        <v>55</v>
      </c>
      <c r="V738" s="19" t="s">
        <v>244</v>
      </c>
      <c r="W738" s="19"/>
      <c r="X738" s="241"/>
    </row>
    <row r="739" spans="1:24" ht="45" x14ac:dyDescent="0.25">
      <c r="A739" s="224" t="s">
        <v>143</v>
      </c>
      <c r="B739" s="160" t="s">
        <v>333</v>
      </c>
      <c r="C739" s="160" t="s">
        <v>200</v>
      </c>
      <c r="D739" s="160" t="s">
        <v>247</v>
      </c>
      <c r="E739" s="47" t="s">
        <v>34</v>
      </c>
      <c r="F739" s="212"/>
      <c r="G739" s="212"/>
      <c r="H739" s="212"/>
      <c r="I739" s="213">
        <v>2</v>
      </c>
      <c r="J739" s="213">
        <v>2</v>
      </c>
      <c r="K739" s="85">
        <v>42156</v>
      </c>
      <c r="L739" s="250"/>
      <c r="M739" s="253"/>
      <c r="U739" s="218">
        <v>56</v>
      </c>
      <c r="V739" s="19" t="s">
        <v>244</v>
      </c>
      <c r="W739" s="19"/>
      <c r="X739" s="241"/>
    </row>
    <row r="740" spans="1:24" ht="45" x14ac:dyDescent="0.25">
      <c r="A740" s="224" t="s">
        <v>143</v>
      </c>
      <c r="B740" s="160" t="s">
        <v>333</v>
      </c>
      <c r="C740" s="160" t="s">
        <v>200</v>
      </c>
      <c r="D740" s="160" t="s">
        <v>248</v>
      </c>
      <c r="E740" s="47" t="s">
        <v>34</v>
      </c>
      <c r="F740" s="135"/>
      <c r="G740" s="135"/>
      <c r="H740" s="135"/>
      <c r="I740" s="27">
        <v>2</v>
      </c>
      <c r="J740" s="27">
        <v>2</v>
      </c>
      <c r="K740" s="85">
        <v>42156</v>
      </c>
      <c r="L740" s="250"/>
      <c r="M740" s="253"/>
      <c r="U740" s="218">
        <v>56</v>
      </c>
      <c r="V740" s="19" t="s">
        <v>244</v>
      </c>
      <c r="W740" s="19"/>
      <c r="X740" s="241"/>
    </row>
    <row r="741" spans="1:24" ht="45" x14ac:dyDescent="0.25">
      <c r="A741" s="224" t="s">
        <v>143</v>
      </c>
      <c r="B741" s="160" t="s">
        <v>333</v>
      </c>
      <c r="C741" s="160" t="s">
        <v>200</v>
      </c>
      <c r="D741" s="160" t="s">
        <v>260</v>
      </c>
      <c r="E741" s="161" t="s">
        <v>35</v>
      </c>
      <c r="F741" s="135"/>
      <c r="G741" s="135"/>
      <c r="H741" s="135"/>
      <c r="I741" s="27">
        <v>2</v>
      </c>
      <c r="J741" s="27">
        <v>3</v>
      </c>
      <c r="K741" s="85">
        <v>42156</v>
      </c>
      <c r="L741" s="250"/>
      <c r="M741" s="253"/>
      <c r="U741" s="218">
        <v>57</v>
      </c>
      <c r="V741" s="19" t="s">
        <v>244</v>
      </c>
      <c r="W741" s="19"/>
      <c r="X741" s="241"/>
    </row>
    <row r="742" spans="1:24" ht="30" x14ac:dyDescent="0.25">
      <c r="A742" s="224" t="s">
        <v>143</v>
      </c>
      <c r="B742" s="160" t="s">
        <v>333</v>
      </c>
      <c r="C742" s="160" t="s">
        <v>200</v>
      </c>
      <c r="D742" s="160" t="s">
        <v>249</v>
      </c>
      <c r="E742" s="162" t="s">
        <v>36</v>
      </c>
      <c r="F742" s="135"/>
      <c r="G742" s="135"/>
      <c r="H742" s="135"/>
      <c r="I742" s="27">
        <v>2</v>
      </c>
      <c r="J742" s="27">
        <v>2</v>
      </c>
      <c r="K742" s="85">
        <v>42156</v>
      </c>
      <c r="L742" s="250"/>
      <c r="M742" s="253"/>
      <c r="U742" s="218">
        <v>58</v>
      </c>
      <c r="V742" s="19" t="s">
        <v>244</v>
      </c>
      <c r="W742" s="19"/>
      <c r="X742" s="241"/>
    </row>
    <row r="743" spans="1:24" ht="30" x14ac:dyDescent="0.25">
      <c r="A743" s="224" t="s">
        <v>143</v>
      </c>
      <c r="B743" s="160" t="s">
        <v>333</v>
      </c>
      <c r="C743" s="160" t="s">
        <v>200</v>
      </c>
      <c r="D743" s="160" t="s">
        <v>261</v>
      </c>
      <c r="E743" s="47" t="s">
        <v>37</v>
      </c>
      <c r="F743" s="135"/>
      <c r="G743" s="135"/>
      <c r="H743" s="135"/>
      <c r="I743" s="27">
        <v>2</v>
      </c>
      <c r="J743" s="27">
        <v>2</v>
      </c>
      <c r="K743" s="85">
        <v>42156</v>
      </c>
      <c r="L743" s="250"/>
      <c r="M743" s="253"/>
      <c r="U743" s="218">
        <v>59</v>
      </c>
      <c r="V743" s="19" t="s">
        <v>244</v>
      </c>
      <c r="W743" s="19"/>
      <c r="X743" s="241"/>
    </row>
    <row r="744" spans="1:24" ht="45.75" thickBot="1" x14ac:dyDescent="0.3">
      <c r="A744" s="225" t="s">
        <v>143</v>
      </c>
      <c r="B744" s="163" t="s">
        <v>333</v>
      </c>
      <c r="C744" s="163" t="s">
        <v>200</v>
      </c>
      <c r="D744" s="163" t="s">
        <v>262</v>
      </c>
      <c r="E744" s="164" t="s">
        <v>38</v>
      </c>
      <c r="F744" s="136"/>
      <c r="G744" s="136"/>
      <c r="H744" s="136"/>
      <c r="I744" s="35">
        <v>2</v>
      </c>
      <c r="J744" s="35">
        <v>3</v>
      </c>
      <c r="K744" s="86">
        <v>42156</v>
      </c>
      <c r="L744" s="251"/>
      <c r="M744" s="254"/>
      <c r="U744" s="218">
        <v>60</v>
      </c>
      <c r="V744" s="19" t="s">
        <v>244</v>
      </c>
      <c r="W744" s="19"/>
      <c r="X744" s="241"/>
    </row>
    <row r="745" spans="1:24" ht="30.75" thickTop="1" x14ac:dyDescent="0.25">
      <c r="A745" s="226" t="s">
        <v>143</v>
      </c>
      <c r="B745" s="165" t="s">
        <v>333</v>
      </c>
      <c r="C745" s="165" t="s">
        <v>201</v>
      </c>
      <c r="D745" s="165" t="s">
        <v>250</v>
      </c>
      <c r="E745" s="166" t="s">
        <v>348</v>
      </c>
      <c r="F745" s="140"/>
      <c r="G745" s="140"/>
      <c r="H745" s="140"/>
      <c r="I745" s="38">
        <v>2</v>
      </c>
      <c r="J745" s="38">
        <v>3</v>
      </c>
      <c r="K745" s="203">
        <v>42156</v>
      </c>
      <c r="L745" s="249" t="str">
        <f t="shared" ref="L745" si="77">CONCATENATE("Level"," ",MIN(I745:I756))</f>
        <v>Level 1</v>
      </c>
      <c r="M745" s="252" t="str">
        <f t="shared" ref="M745" si="78">CONCATENATE("Level"," ",MIN(J745:J756))</f>
        <v>Level 2</v>
      </c>
      <c r="U745" s="218">
        <v>1</v>
      </c>
      <c r="V745" s="19" t="s">
        <v>244</v>
      </c>
      <c r="W745" s="19" t="s">
        <v>209</v>
      </c>
      <c r="X745" s="241"/>
    </row>
    <row r="746" spans="1:24" ht="30" x14ac:dyDescent="0.25">
      <c r="A746" s="228" t="s">
        <v>143</v>
      </c>
      <c r="B746" s="199" t="s">
        <v>333</v>
      </c>
      <c r="C746" s="199" t="s">
        <v>201</v>
      </c>
      <c r="D746" s="199" t="s">
        <v>334</v>
      </c>
      <c r="E746" s="200" t="s">
        <v>348</v>
      </c>
      <c r="F746" s="214"/>
      <c r="G746" s="214"/>
      <c r="H746" s="214"/>
      <c r="I746" s="215">
        <v>2</v>
      </c>
      <c r="J746" s="215">
        <v>3</v>
      </c>
      <c r="K746" s="88">
        <v>42156</v>
      </c>
      <c r="L746" s="250"/>
      <c r="M746" s="253"/>
      <c r="U746" s="218">
        <v>45</v>
      </c>
      <c r="V746" s="19" t="s">
        <v>244</v>
      </c>
      <c r="W746" s="19" t="s">
        <v>209</v>
      </c>
      <c r="X746" s="241"/>
    </row>
    <row r="747" spans="1:24" ht="45" x14ac:dyDescent="0.25">
      <c r="A747" s="228" t="s">
        <v>143</v>
      </c>
      <c r="B747" s="199" t="s">
        <v>333</v>
      </c>
      <c r="C747" s="199" t="s">
        <v>201</v>
      </c>
      <c r="D747" s="199" t="s">
        <v>337</v>
      </c>
      <c r="E747" s="200" t="s">
        <v>348</v>
      </c>
      <c r="F747" s="214"/>
      <c r="G747" s="214"/>
      <c r="H747" s="214"/>
      <c r="I747" s="215">
        <v>1</v>
      </c>
      <c r="J747" s="215">
        <v>2</v>
      </c>
      <c r="K747" s="88">
        <v>42156</v>
      </c>
      <c r="L747" s="250"/>
      <c r="M747" s="253"/>
      <c r="U747" s="218">
        <v>48</v>
      </c>
      <c r="V747" s="19" t="s">
        <v>244</v>
      </c>
      <c r="W747" s="19" t="s">
        <v>209</v>
      </c>
      <c r="X747" s="241"/>
    </row>
    <row r="748" spans="1:24" ht="45" x14ac:dyDescent="0.25">
      <c r="A748" s="228" t="s">
        <v>143</v>
      </c>
      <c r="B748" s="199" t="s">
        <v>333</v>
      </c>
      <c r="C748" s="199" t="s">
        <v>201</v>
      </c>
      <c r="D748" s="199" t="s">
        <v>266</v>
      </c>
      <c r="E748" s="200" t="s">
        <v>348</v>
      </c>
      <c r="F748" s="214"/>
      <c r="G748" s="214"/>
      <c r="H748" s="214"/>
      <c r="I748" s="215">
        <v>2</v>
      </c>
      <c r="J748" s="215">
        <v>3</v>
      </c>
      <c r="K748" s="88">
        <v>42156</v>
      </c>
      <c r="L748" s="250"/>
      <c r="M748" s="253"/>
      <c r="U748" s="218">
        <v>2</v>
      </c>
      <c r="V748" s="19" t="s">
        <v>244</v>
      </c>
      <c r="W748" s="19" t="s">
        <v>209</v>
      </c>
      <c r="X748" s="241"/>
    </row>
    <row r="749" spans="1:24" ht="75" x14ac:dyDescent="0.25">
      <c r="A749" s="228" t="s">
        <v>143</v>
      </c>
      <c r="B749" s="199" t="s">
        <v>333</v>
      </c>
      <c r="C749" s="199" t="s">
        <v>201</v>
      </c>
      <c r="D749" s="199" t="s">
        <v>252</v>
      </c>
      <c r="E749" s="200" t="s">
        <v>348</v>
      </c>
      <c r="F749" s="214"/>
      <c r="G749" s="214"/>
      <c r="H749" s="214"/>
      <c r="I749" s="215">
        <v>2</v>
      </c>
      <c r="J749" s="215">
        <v>3</v>
      </c>
      <c r="K749" s="88">
        <v>42156</v>
      </c>
      <c r="L749" s="250"/>
      <c r="M749" s="253"/>
      <c r="U749" s="218">
        <v>3</v>
      </c>
      <c r="V749" s="19" t="s">
        <v>244</v>
      </c>
      <c r="W749" s="19" t="s">
        <v>209</v>
      </c>
      <c r="X749" s="241"/>
    </row>
    <row r="750" spans="1:24" ht="30" x14ac:dyDescent="0.25">
      <c r="A750" s="228" t="s">
        <v>143</v>
      </c>
      <c r="B750" s="199" t="s">
        <v>333</v>
      </c>
      <c r="C750" s="199" t="s">
        <v>201</v>
      </c>
      <c r="D750" s="199" t="s">
        <v>259</v>
      </c>
      <c r="E750" s="200" t="s">
        <v>0</v>
      </c>
      <c r="F750" s="214"/>
      <c r="G750" s="214"/>
      <c r="H750" s="214"/>
      <c r="I750" s="215">
        <v>2</v>
      </c>
      <c r="J750" s="215">
        <v>3</v>
      </c>
      <c r="K750" s="88">
        <v>42156</v>
      </c>
      <c r="L750" s="250"/>
      <c r="M750" s="253"/>
      <c r="U750" s="218">
        <v>55</v>
      </c>
      <c r="V750" s="19" t="s">
        <v>244</v>
      </c>
      <c r="W750" s="19" t="s">
        <v>209</v>
      </c>
      <c r="X750" s="241"/>
    </row>
    <row r="751" spans="1:24" ht="45" x14ac:dyDescent="0.25">
      <c r="A751" s="227" t="s">
        <v>143</v>
      </c>
      <c r="B751" s="167" t="s">
        <v>333</v>
      </c>
      <c r="C751" s="167" t="s">
        <v>201</v>
      </c>
      <c r="D751" s="167" t="s">
        <v>247</v>
      </c>
      <c r="E751" s="50" t="s">
        <v>34</v>
      </c>
      <c r="F751" s="214"/>
      <c r="G751" s="214"/>
      <c r="H751" s="214"/>
      <c r="I751" s="215">
        <v>2</v>
      </c>
      <c r="J751" s="215">
        <v>2</v>
      </c>
      <c r="K751" s="88">
        <v>42156</v>
      </c>
      <c r="L751" s="250"/>
      <c r="M751" s="253"/>
      <c r="U751" s="218">
        <v>56</v>
      </c>
      <c r="V751" s="19" t="s">
        <v>244</v>
      </c>
      <c r="W751" s="19" t="s">
        <v>209</v>
      </c>
      <c r="X751" s="241"/>
    </row>
    <row r="752" spans="1:24" ht="45" x14ac:dyDescent="0.25">
      <c r="A752" s="227" t="s">
        <v>143</v>
      </c>
      <c r="B752" s="167" t="s">
        <v>333</v>
      </c>
      <c r="C752" s="167" t="s">
        <v>201</v>
      </c>
      <c r="D752" s="167" t="s">
        <v>248</v>
      </c>
      <c r="E752" s="50" t="s">
        <v>34</v>
      </c>
      <c r="F752" s="141"/>
      <c r="G752" s="141"/>
      <c r="H752" s="141"/>
      <c r="I752" s="28">
        <v>2</v>
      </c>
      <c r="J752" s="28">
        <v>3</v>
      </c>
      <c r="K752" s="88">
        <v>42156</v>
      </c>
      <c r="L752" s="250"/>
      <c r="M752" s="253"/>
      <c r="U752" s="218">
        <v>56</v>
      </c>
      <c r="V752" s="19" t="s">
        <v>244</v>
      </c>
      <c r="W752" s="19" t="s">
        <v>209</v>
      </c>
      <c r="X752" s="241"/>
    </row>
    <row r="753" spans="1:24" ht="45" x14ac:dyDescent="0.25">
      <c r="A753" s="227" t="s">
        <v>143</v>
      </c>
      <c r="B753" s="167" t="s">
        <v>333</v>
      </c>
      <c r="C753" s="167" t="s">
        <v>201</v>
      </c>
      <c r="D753" s="167" t="s">
        <v>260</v>
      </c>
      <c r="E753" s="168" t="s">
        <v>35</v>
      </c>
      <c r="F753" s="141"/>
      <c r="G753" s="141"/>
      <c r="H753" s="141"/>
      <c r="I753" s="28">
        <v>2</v>
      </c>
      <c r="J753" s="28">
        <v>2</v>
      </c>
      <c r="K753" s="88">
        <v>42156</v>
      </c>
      <c r="L753" s="250"/>
      <c r="M753" s="253"/>
      <c r="U753" s="218">
        <v>57</v>
      </c>
      <c r="V753" s="19" t="s">
        <v>244</v>
      </c>
      <c r="W753" s="19" t="s">
        <v>209</v>
      </c>
      <c r="X753" s="241"/>
    </row>
    <row r="754" spans="1:24" ht="30" x14ac:dyDescent="0.25">
      <c r="A754" s="227" t="s">
        <v>143</v>
      </c>
      <c r="B754" s="167" t="s">
        <v>333</v>
      </c>
      <c r="C754" s="167" t="s">
        <v>201</v>
      </c>
      <c r="D754" s="167" t="s">
        <v>249</v>
      </c>
      <c r="E754" s="169" t="s">
        <v>36</v>
      </c>
      <c r="F754" s="141"/>
      <c r="G754" s="141"/>
      <c r="H754" s="141"/>
      <c r="I754" s="28">
        <v>2</v>
      </c>
      <c r="J754" s="28">
        <v>3</v>
      </c>
      <c r="K754" s="88">
        <v>42156</v>
      </c>
      <c r="L754" s="250"/>
      <c r="M754" s="253"/>
      <c r="U754" s="218">
        <v>58</v>
      </c>
      <c r="V754" s="19" t="s">
        <v>244</v>
      </c>
      <c r="W754" s="19" t="s">
        <v>209</v>
      </c>
      <c r="X754" s="241"/>
    </row>
    <row r="755" spans="1:24" ht="30" x14ac:dyDescent="0.25">
      <c r="A755" s="227" t="s">
        <v>143</v>
      </c>
      <c r="B755" s="167" t="s">
        <v>333</v>
      </c>
      <c r="C755" s="167" t="s">
        <v>201</v>
      </c>
      <c r="D755" s="167" t="s">
        <v>261</v>
      </c>
      <c r="E755" s="50" t="s">
        <v>37</v>
      </c>
      <c r="F755" s="141"/>
      <c r="G755" s="141"/>
      <c r="H755" s="141"/>
      <c r="I755" s="28">
        <v>2</v>
      </c>
      <c r="J755" s="28">
        <v>3</v>
      </c>
      <c r="K755" s="88">
        <v>42156</v>
      </c>
      <c r="L755" s="250"/>
      <c r="M755" s="253"/>
      <c r="U755" s="218">
        <v>59</v>
      </c>
      <c r="V755" s="19" t="s">
        <v>244</v>
      </c>
      <c r="W755" s="19" t="s">
        <v>209</v>
      </c>
      <c r="X755" s="241"/>
    </row>
    <row r="756" spans="1:24" ht="45.75" thickBot="1" x14ac:dyDescent="0.3">
      <c r="A756" s="229" t="s">
        <v>143</v>
      </c>
      <c r="B756" s="170" t="s">
        <v>333</v>
      </c>
      <c r="C756" s="170" t="s">
        <v>201</v>
      </c>
      <c r="D756" s="170" t="s">
        <v>262</v>
      </c>
      <c r="E756" s="171" t="s">
        <v>38</v>
      </c>
      <c r="F756" s="142"/>
      <c r="G756" s="142"/>
      <c r="H756" s="142"/>
      <c r="I756" s="39">
        <v>2</v>
      </c>
      <c r="J756" s="39">
        <v>3</v>
      </c>
      <c r="K756" s="89">
        <v>42156</v>
      </c>
      <c r="L756" s="251"/>
      <c r="M756" s="254"/>
      <c r="U756" s="218">
        <v>60</v>
      </c>
      <c r="V756" s="19" t="s">
        <v>244</v>
      </c>
      <c r="W756" s="19" t="s">
        <v>209</v>
      </c>
      <c r="X756" s="241"/>
    </row>
    <row r="757" spans="1:24" ht="30.75" thickTop="1" x14ac:dyDescent="0.25">
      <c r="A757" s="231" t="s">
        <v>143</v>
      </c>
      <c r="B757" s="158" t="s">
        <v>338</v>
      </c>
      <c r="C757" s="158" t="s">
        <v>202</v>
      </c>
      <c r="D757" s="158" t="s">
        <v>250</v>
      </c>
      <c r="E757" s="159" t="s">
        <v>348</v>
      </c>
      <c r="F757" s="134"/>
      <c r="G757" s="134"/>
      <c r="H757" s="134"/>
      <c r="I757" s="34">
        <v>2</v>
      </c>
      <c r="J757" s="34">
        <v>2</v>
      </c>
      <c r="K757" s="233">
        <v>42156</v>
      </c>
      <c r="L757" s="249" t="str">
        <f t="shared" ref="L757" si="79">CONCATENATE("Level"," ",MIN(I757:I766))</f>
        <v>Level 1</v>
      </c>
      <c r="M757" s="252" t="str">
        <f t="shared" ref="M757" si="80">CONCATENATE("Level"," ",MIN(J757:J766))</f>
        <v>Level 2</v>
      </c>
      <c r="U757" s="218">
        <v>1</v>
      </c>
      <c r="V757" s="19" t="s">
        <v>244</v>
      </c>
      <c r="W757" s="19"/>
      <c r="X757" s="241"/>
    </row>
    <row r="758" spans="1:24" ht="45" x14ac:dyDescent="0.25">
      <c r="A758" s="230" t="s">
        <v>143</v>
      </c>
      <c r="B758" s="190" t="s">
        <v>338</v>
      </c>
      <c r="C758" s="190" t="s">
        <v>202</v>
      </c>
      <c r="D758" s="190" t="s">
        <v>266</v>
      </c>
      <c r="E758" s="191" t="s">
        <v>348</v>
      </c>
      <c r="F758" s="212"/>
      <c r="G758" s="212"/>
      <c r="H758" s="212"/>
      <c r="I758" s="213">
        <v>2</v>
      </c>
      <c r="J758" s="213">
        <v>2</v>
      </c>
      <c r="K758" s="85">
        <v>42156</v>
      </c>
      <c r="L758" s="250"/>
      <c r="M758" s="253"/>
      <c r="U758" s="218">
        <v>2</v>
      </c>
      <c r="V758" s="19" t="s">
        <v>244</v>
      </c>
      <c r="W758" s="19"/>
      <c r="X758" s="241"/>
    </row>
    <row r="759" spans="1:24" ht="75" x14ac:dyDescent="0.25">
      <c r="A759" s="230" t="s">
        <v>143</v>
      </c>
      <c r="B759" s="190" t="s">
        <v>338</v>
      </c>
      <c r="C759" s="190" t="s">
        <v>202</v>
      </c>
      <c r="D759" s="190" t="s">
        <v>252</v>
      </c>
      <c r="E759" s="191" t="s">
        <v>348</v>
      </c>
      <c r="F759" s="212"/>
      <c r="G759" s="212"/>
      <c r="H759" s="212"/>
      <c r="I759" s="213">
        <v>2</v>
      </c>
      <c r="J759" s="213">
        <v>2</v>
      </c>
      <c r="K759" s="85">
        <v>42156</v>
      </c>
      <c r="L759" s="250"/>
      <c r="M759" s="253"/>
      <c r="U759" s="218">
        <v>3</v>
      </c>
      <c r="V759" s="19" t="s">
        <v>244</v>
      </c>
      <c r="W759" s="19"/>
      <c r="X759" s="241"/>
    </row>
    <row r="760" spans="1:24" ht="30" x14ac:dyDescent="0.25">
      <c r="A760" s="230" t="s">
        <v>143</v>
      </c>
      <c r="B760" s="190" t="s">
        <v>338</v>
      </c>
      <c r="C760" s="190" t="s">
        <v>202</v>
      </c>
      <c r="D760" s="190" t="s">
        <v>263</v>
      </c>
      <c r="E760" s="191" t="s">
        <v>0</v>
      </c>
      <c r="F760" s="212"/>
      <c r="G760" s="212"/>
      <c r="H760" s="212"/>
      <c r="I760" s="213">
        <v>1</v>
      </c>
      <c r="J760" s="213">
        <v>2</v>
      </c>
      <c r="K760" s="85">
        <v>42156</v>
      </c>
      <c r="L760" s="250"/>
      <c r="M760" s="253"/>
      <c r="U760" s="218">
        <v>55</v>
      </c>
      <c r="V760" s="19" t="s">
        <v>244</v>
      </c>
      <c r="W760" s="19"/>
      <c r="X760" s="241"/>
    </row>
    <row r="761" spans="1:24" ht="45" x14ac:dyDescent="0.25">
      <c r="A761" s="224" t="s">
        <v>143</v>
      </c>
      <c r="B761" s="160" t="s">
        <v>338</v>
      </c>
      <c r="C761" s="160" t="s">
        <v>202</v>
      </c>
      <c r="D761" s="160" t="s">
        <v>247</v>
      </c>
      <c r="E761" s="47" t="s">
        <v>34</v>
      </c>
      <c r="F761" s="212"/>
      <c r="G761" s="212"/>
      <c r="H761" s="212"/>
      <c r="I761" s="213">
        <v>2</v>
      </c>
      <c r="J761" s="213">
        <v>2</v>
      </c>
      <c r="K761" s="85">
        <v>42156</v>
      </c>
      <c r="L761" s="250"/>
      <c r="M761" s="253"/>
      <c r="U761" s="218">
        <v>56</v>
      </c>
      <c r="V761" s="19" t="s">
        <v>244</v>
      </c>
      <c r="W761" s="19"/>
      <c r="X761" s="241"/>
    </row>
    <row r="762" spans="1:24" ht="45" x14ac:dyDescent="0.25">
      <c r="A762" s="224" t="s">
        <v>143</v>
      </c>
      <c r="B762" s="160" t="s">
        <v>338</v>
      </c>
      <c r="C762" s="160" t="s">
        <v>202</v>
      </c>
      <c r="D762" s="160" t="s">
        <v>248</v>
      </c>
      <c r="E762" s="47" t="s">
        <v>34</v>
      </c>
      <c r="F762" s="135"/>
      <c r="G762" s="135"/>
      <c r="H762" s="135"/>
      <c r="I762" s="27">
        <v>1</v>
      </c>
      <c r="J762" s="27">
        <v>2</v>
      </c>
      <c r="K762" s="85">
        <v>42156</v>
      </c>
      <c r="L762" s="250"/>
      <c r="M762" s="253"/>
      <c r="U762" s="218">
        <v>56</v>
      </c>
      <c r="V762" s="19" t="s">
        <v>244</v>
      </c>
      <c r="W762" s="19"/>
      <c r="X762" s="241"/>
    </row>
    <row r="763" spans="1:24" ht="45" x14ac:dyDescent="0.25">
      <c r="A763" s="224" t="s">
        <v>143</v>
      </c>
      <c r="B763" s="160" t="s">
        <v>338</v>
      </c>
      <c r="C763" s="160" t="s">
        <v>202</v>
      </c>
      <c r="D763" s="160" t="s">
        <v>260</v>
      </c>
      <c r="E763" s="161" t="s">
        <v>35</v>
      </c>
      <c r="F763" s="135"/>
      <c r="G763" s="135"/>
      <c r="H763" s="135"/>
      <c r="I763" s="27">
        <v>1</v>
      </c>
      <c r="J763" s="27">
        <v>2</v>
      </c>
      <c r="K763" s="85">
        <v>42156</v>
      </c>
      <c r="L763" s="250"/>
      <c r="M763" s="253"/>
      <c r="U763" s="218">
        <v>57</v>
      </c>
      <c r="V763" s="19" t="s">
        <v>244</v>
      </c>
      <c r="W763" s="19"/>
      <c r="X763" s="241"/>
    </row>
    <row r="764" spans="1:24" ht="30" x14ac:dyDescent="0.25">
      <c r="A764" s="224" t="s">
        <v>143</v>
      </c>
      <c r="B764" s="160" t="s">
        <v>338</v>
      </c>
      <c r="C764" s="160" t="s">
        <v>202</v>
      </c>
      <c r="D764" s="160" t="s">
        <v>249</v>
      </c>
      <c r="E764" s="162" t="s">
        <v>36</v>
      </c>
      <c r="F764" s="135"/>
      <c r="G764" s="135"/>
      <c r="H764" s="135"/>
      <c r="I764" s="27">
        <v>1</v>
      </c>
      <c r="J764" s="27">
        <v>2</v>
      </c>
      <c r="K764" s="85">
        <v>42156</v>
      </c>
      <c r="L764" s="250"/>
      <c r="M764" s="253"/>
      <c r="U764" s="218">
        <v>58</v>
      </c>
      <c r="V764" s="19" t="s">
        <v>244</v>
      </c>
      <c r="W764" s="19"/>
      <c r="X764" s="241"/>
    </row>
    <row r="765" spans="1:24" ht="30" x14ac:dyDescent="0.25">
      <c r="A765" s="224" t="s">
        <v>143</v>
      </c>
      <c r="B765" s="160" t="s">
        <v>338</v>
      </c>
      <c r="C765" s="160" t="s">
        <v>202</v>
      </c>
      <c r="D765" s="160" t="s">
        <v>261</v>
      </c>
      <c r="E765" s="47" t="s">
        <v>37</v>
      </c>
      <c r="F765" s="135"/>
      <c r="G765" s="135"/>
      <c r="H765" s="135"/>
      <c r="I765" s="27">
        <v>2</v>
      </c>
      <c r="J765" s="27">
        <v>2</v>
      </c>
      <c r="K765" s="85">
        <v>42156</v>
      </c>
      <c r="L765" s="250"/>
      <c r="M765" s="253"/>
      <c r="U765" s="218">
        <v>59</v>
      </c>
      <c r="V765" s="19" t="s">
        <v>244</v>
      </c>
      <c r="W765" s="19"/>
      <c r="X765" s="241"/>
    </row>
    <row r="766" spans="1:24" ht="45.75" thickBot="1" x14ac:dyDescent="0.3">
      <c r="A766" s="225" t="s">
        <v>143</v>
      </c>
      <c r="B766" s="163" t="s">
        <v>338</v>
      </c>
      <c r="C766" s="163" t="s">
        <v>202</v>
      </c>
      <c r="D766" s="163" t="s">
        <v>262</v>
      </c>
      <c r="E766" s="164" t="s">
        <v>38</v>
      </c>
      <c r="F766" s="136"/>
      <c r="G766" s="136"/>
      <c r="H766" s="136"/>
      <c r="I766" s="35">
        <v>2</v>
      </c>
      <c r="J766" s="35">
        <v>2</v>
      </c>
      <c r="K766" s="86">
        <v>42156</v>
      </c>
      <c r="L766" s="251"/>
      <c r="M766" s="254"/>
      <c r="U766" s="218">
        <v>60</v>
      </c>
      <c r="V766" s="19" t="s">
        <v>244</v>
      </c>
      <c r="W766" s="19"/>
      <c r="X766" s="241"/>
    </row>
    <row r="767" spans="1:24" ht="30.75" thickTop="1" x14ac:dyDescent="0.25">
      <c r="A767" s="226" t="s">
        <v>143</v>
      </c>
      <c r="B767" s="165" t="s">
        <v>338</v>
      </c>
      <c r="C767" s="165" t="s">
        <v>203</v>
      </c>
      <c r="D767" s="165" t="s">
        <v>250</v>
      </c>
      <c r="E767" s="166" t="s">
        <v>348</v>
      </c>
      <c r="F767" s="140"/>
      <c r="G767" s="140"/>
      <c r="H767" s="140"/>
      <c r="I767" s="38">
        <v>2</v>
      </c>
      <c r="J767" s="38">
        <v>3</v>
      </c>
      <c r="K767" s="203">
        <v>42156</v>
      </c>
      <c r="L767" s="249" t="str">
        <f t="shared" ref="L767" si="81">CONCATENATE("Level"," ",MIN(I767:I778))</f>
        <v>Level 1</v>
      </c>
      <c r="M767" s="252" t="str">
        <f t="shared" ref="M767" si="82">CONCATENATE("Level"," ",MIN(J767:J778))</f>
        <v>Level 2</v>
      </c>
      <c r="U767" s="218">
        <v>1</v>
      </c>
      <c r="V767" s="19" t="s">
        <v>244</v>
      </c>
      <c r="W767" s="19"/>
      <c r="X767" s="241"/>
    </row>
    <row r="768" spans="1:24" ht="45" x14ac:dyDescent="0.25">
      <c r="A768" s="228" t="s">
        <v>143</v>
      </c>
      <c r="B768" s="199" t="s">
        <v>338</v>
      </c>
      <c r="C768" s="199" t="s">
        <v>203</v>
      </c>
      <c r="D768" s="199" t="s">
        <v>266</v>
      </c>
      <c r="E768" s="200" t="s">
        <v>348</v>
      </c>
      <c r="F768" s="214"/>
      <c r="G768" s="214"/>
      <c r="H768" s="214"/>
      <c r="I768" s="215">
        <v>2</v>
      </c>
      <c r="J768" s="215">
        <v>2</v>
      </c>
      <c r="K768" s="88">
        <v>42156</v>
      </c>
      <c r="L768" s="250"/>
      <c r="M768" s="253"/>
      <c r="U768" s="218">
        <v>2</v>
      </c>
      <c r="V768" s="19" t="s">
        <v>244</v>
      </c>
      <c r="W768" s="19"/>
      <c r="X768" s="241"/>
    </row>
    <row r="769" spans="1:24" ht="60" x14ac:dyDescent="0.25">
      <c r="A769" s="228" t="s">
        <v>143</v>
      </c>
      <c r="B769" s="199" t="s">
        <v>338</v>
      </c>
      <c r="C769" s="199" t="s">
        <v>203</v>
      </c>
      <c r="D769" s="199" t="s">
        <v>339</v>
      </c>
      <c r="E769" s="200" t="s">
        <v>348</v>
      </c>
      <c r="F769" s="214"/>
      <c r="G769" s="214"/>
      <c r="H769" s="214"/>
      <c r="I769" s="215">
        <v>2</v>
      </c>
      <c r="J769" s="215">
        <v>2</v>
      </c>
      <c r="K769" s="88">
        <v>42156</v>
      </c>
      <c r="L769" s="250"/>
      <c r="M769" s="253"/>
      <c r="U769" s="218">
        <v>49</v>
      </c>
      <c r="V769" s="19" t="s">
        <v>244</v>
      </c>
      <c r="W769" s="19"/>
      <c r="X769" s="241"/>
    </row>
    <row r="770" spans="1:24" ht="45" x14ac:dyDescent="0.25">
      <c r="A770" s="228" t="s">
        <v>143</v>
      </c>
      <c r="B770" s="199" t="s">
        <v>338</v>
      </c>
      <c r="C770" s="199" t="s">
        <v>203</v>
      </c>
      <c r="D770" s="199" t="s">
        <v>340</v>
      </c>
      <c r="E770" s="200" t="s">
        <v>348</v>
      </c>
      <c r="F770" s="214"/>
      <c r="G770" s="214"/>
      <c r="H770" s="214"/>
      <c r="I770" s="215">
        <v>2</v>
      </c>
      <c r="J770" s="215">
        <v>2</v>
      </c>
      <c r="K770" s="88">
        <v>42156</v>
      </c>
      <c r="L770" s="250"/>
      <c r="M770" s="253"/>
      <c r="U770" s="218">
        <v>50</v>
      </c>
      <c r="V770" s="19" t="s">
        <v>244</v>
      </c>
      <c r="W770" s="19"/>
      <c r="X770" s="241"/>
    </row>
    <row r="771" spans="1:24" ht="75" x14ac:dyDescent="0.25">
      <c r="A771" s="228" t="s">
        <v>143</v>
      </c>
      <c r="B771" s="199" t="s">
        <v>338</v>
      </c>
      <c r="C771" s="199" t="s">
        <v>203</v>
      </c>
      <c r="D771" s="199" t="s">
        <v>252</v>
      </c>
      <c r="E771" s="200" t="s">
        <v>348</v>
      </c>
      <c r="F771" s="214"/>
      <c r="G771" s="214"/>
      <c r="H771" s="214"/>
      <c r="I771" s="215">
        <v>2</v>
      </c>
      <c r="J771" s="215">
        <v>3</v>
      </c>
      <c r="K771" s="88">
        <v>42156</v>
      </c>
      <c r="L771" s="250"/>
      <c r="M771" s="253"/>
      <c r="U771" s="218">
        <v>3</v>
      </c>
      <c r="V771" s="19" t="s">
        <v>244</v>
      </c>
      <c r="W771" s="19"/>
      <c r="X771" s="241"/>
    </row>
    <row r="772" spans="1:24" ht="30" x14ac:dyDescent="0.25">
      <c r="A772" s="228" t="s">
        <v>143</v>
      </c>
      <c r="B772" s="199" t="s">
        <v>338</v>
      </c>
      <c r="C772" s="199" t="s">
        <v>203</v>
      </c>
      <c r="D772" s="199" t="s">
        <v>263</v>
      </c>
      <c r="E772" s="200" t="s">
        <v>0</v>
      </c>
      <c r="F772" s="214"/>
      <c r="G772" s="214"/>
      <c r="H772" s="214"/>
      <c r="I772" s="215">
        <v>1</v>
      </c>
      <c r="J772" s="215">
        <v>2</v>
      </c>
      <c r="K772" s="88">
        <v>42156</v>
      </c>
      <c r="L772" s="250"/>
      <c r="M772" s="253"/>
      <c r="U772" s="218">
        <v>55</v>
      </c>
      <c r="V772" s="19" t="s">
        <v>244</v>
      </c>
      <c r="W772" s="19"/>
      <c r="X772" s="241"/>
    </row>
    <row r="773" spans="1:24" ht="45" x14ac:dyDescent="0.25">
      <c r="A773" s="227" t="s">
        <v>143</v>
      </c>
      <c r="B773" s="167" t="s">
        <v>338</v>
      </c>
      <c r="C773" s="167" t="s">
        <v>203</v>
      </c>
      <c r="D773" s="167" t="s">
        <v>247</v>
      </c>
      <c r="E773" s="50" t="s">
        <v>34</v>
      </c>
      <c r="F773" s="214"/>
      <c r="G773" s="214"/>
      <c r="H773" s="214"/>
      <c r="I773" s="215">
        <v>2</v>
      </c>
      <c r="J773" s="215">
        <v>2</v>
      </c>
      <c r="K773" s="88">
        <v>42156</v>
      </c>
      <c r="L773" s="250"/>
      <c r="M773" s="253"/>
      <c r="U773" s="218">
        <v>56</v>
      </c>
      <c r="V773" s="19" t="s">
        <v>244</v>
      </c>
      <c r="W773" s="19"/>
      <c r="X773" s="241"/>
    </row>
    <row r="774" spans="1:24" ht="45" x14ac:dyDescent="0.25">
      <c r="A774" s="227" t="s">
        <v>143</v>
      </c>
      <c r="B774" s="167" t="s">
        <v>338</v>
      </c>
      <c r="C774" s="167" t="s">
        <v>203</v>
      </c>
      <c r="D774" s="167" t="s">
        <v>248</v>
      </c>
      <c r="E774" s="50" t="s">
        <v>34</v>
      </c>
      <c r="F774" s="141"/>
      <c r="G774" s="141"/>
      <c r="H774" s="141"/>
      <c r="I774" s="28">
        <v>2</v>
      </c>
      <c r="J774" s="28">
        <v>3</v>
      </c>
      <c r="K774" s="88">
        <v>42156</v>
      </c>
      <c r="L774" s="250"/>
      <c r="M774" s="253"/>
      <c r="U774" s="218">
        <v>56</v>
      </c>
      <c r="V774" s="19" t="s">
        <v>244</v>
      </c>
      <c r="W774" s="19"/>
      <c r="X774" s="241"/>
    </row>
    <row r="775" spans="1:24" ht="45" x14ac:dyDescent="0.25">
      <c r="A775" s="227" t="s">
        <v>143</v>
      </c>
      <c r="B775" s="167" t="s">
        <v>338</v>
      </c>
      <c r="C775" s="167" t="s">
        <v>203</v>
      </c>
      <c r="D775" s="167" t="s">
        <v>260</v>
      </c>
      <c r="E775" s="168" t="s">
        <v>35</v>
      </c>
      <c r="F775" s="141"/>
      <c r="G775" s="141"/>
      <c r="H775" s="141"/>
      <c r="I775" s="28">
        <v>2</v>
      </c>
      <c r="J775" s="28">
        <v>3</v>
      </c>
      <c r="K775" s="88">
        <v>42156</v>
      </c>
      <c r="L775" s="250"/>
      <c r="M775" s="253"/>
      <c r="U775" s="218">
        <v>57</v>
      </c>
      <c r="V775" s="19" t="s">
        <v>244</v>
      </c>
      <c r="W775" s="19"/>
      <c r="X775" s="241"/>
    </row>
    <row r="776" spans="1:24" ht="30" x14ac:dyDescent="0.25">
      <c r="A776" s="227" t="s">
        <v>143</v>
      </c>
      <c r="B776" s="167" t="s">
        <v>338</v>
      </c>
      <c r="C776" s="167" t="s">
        <v>203</v>
      </c>
      <c r="D776" s="167" t="s">
        <v>249</v>
      </c>
      <c r="E776" s="169" t="s">
        <v>36</v>
      </c>
      <c r="F776" s="141"/>
      <c r="G776" s="141"/>
      <c r="H776" s="141"/>
      <c r="I776" s="28">
        <v>2</v>
      </c>
      <c r="J776" s="28">
        <v>2</v>
      </c>
      <c r="K776" s="88">
        <v>42156</v>
      </c>
      <c r="L776" s="250"/>
      <c r="M776" s="253"/>
      <c r="U776" s="218">
        <v>58</v>
      </c>
      <c r="V776" s="19" t="s">
        <v>244</v>
      </c>
      <c r="W776" s="19"/>
      <c r="X776" s="241"/>
    </row>
    <row r="777" spans="1:24" ht="30" x14ac:dyDescent="0.25">
      <c r="A777" s="227" t="s">
        <v>143</v>
      </c>
      <c r="B777" s="167" t="s">
        <v>338</v>
      </c>
      <c r="C777" s="167" t="s">
        <v>203</v>
      </c>
      <c r="D777" s="167" t="s">
        <v>261</v>
      </c>
      <c r="E777" s="50" t="s">
        <v>37</v>
      </c>
      <c r="F777" s="141"/>
      <c r="G777" s="141"/>
      <c r="H777" s="141"/>
      <c r="I777" s="28">
        <v>2</v>
      </c>
      <c r="J777" s="28">
        <v>2</v>
      </c>
      <c r="K777" s="88">
        <v>42156</v>
      </c>
      <c r="L777" s="250"/>
      <c r="M777" s="253"/>
      <c r="U777" s="218">
        <v>59</v>
      </c>
      <c r="V777" s="19" t="s">
        <v>244</v>
      </c>
      <c r="W777" s="19"/>
      <c r="X777" s="241"/>
    </row>
    <row r="778" spans="1:24" ht="45.75" thickBot="1" x14ac:dyDescent="0.3">
      <c r="A778" s="229" t="s">
        <v>143</v>
      </c>
      <c r="B778" s="170" t="s">
        <v>338</v>
      </c>
      <c r="C778" s="170" t="s">
        <v>203</v>
      </c>
      <c r="D778" s="170" t="s">
        <v>262</v>
      </c>
      <c r="E778" s="171" t="s">
        <v>38</v>
      </c>
      <c r="F778" s="142"/>
      <c r="G778" s="142"/>
      <c r="H778" s="142"/>
      <c r="I778" s="39">
        <v>2</v>
      </c>
      <c r="J778" s="39">
        <v>3</v>
      </c>
      <c r="K778" s="89">
        <v>42156</v>
      </c>
      <c r="L778" s="251"/>
      <c r="M778" s="254"/>
      <c r="U778" s="218">
        <v>60</v>
      </c>
      <c r="V778" s="19" t="s">
        <v>244</v>
      </c>
      <c r="W778" s="19"/>
      <c r="X778" s="241"/>
    </row>
    <row r="779" spans="1:24" ht="30.75" thickTop="1" x14ac:dyDescent="0.25">
      <c r="A779" s="231" t="s">
        <v>143</v>
      </c>
      <c r="B779" s="158" t="s">
        <v>338</v>
      </c>
      <c r="C779" s="158" t="s">
        <v>204</v>
      </c>
      <c r="D779" s="158" t="s">
        <v>250</v>
      </c>
      <c r="E779" s="159" t="s">
        <v>348</v>
      </c>
      <c r="F779" s="134"/>
      <c r="G779" s="134"/>
      <c r="H779" s="134"/>
      <c r="I779" s="34">
        <v>2</v>
      </c>
      <c r="J779" s="34">
        <v>2</v>
      </c>
      <c r="K779" s="233">
        <v>42156</v>
      </c>
      <c r="L779" s="249" t="str">
        <f t="shared" ref="L779" si="83">CONCATENATE("Level"," ",MIN(I779:I789))</f>
        <v>Level 1</v>
      </c>
      <c r="M779" s="252" t="str">
        <f t="shared" ref="M779" si="84">CONCATENATE("Level"," ",MIN(J779:J789))</f>
        <v>Level 2</v>
      </c>
      <c r="U779" s="218">
        <v>1</v>
      </c>
      <c r="V779" s="19" t="s">
        <v>244</v>
      </c>
      <c r="W779" s="19"/>
      <c r="X779" s="241"/>
    </row>
    <row r="780" spans="1:24" ht="45" x14ac:dyDescent="0.25">
      <c r="A780" s="230" t="s">
        <v>143</v>
      </c>
      <c r="B780" s="190" t="s">
        <v>338</v>
      </c>
      <c r="C780" s="190" t="s">
        <v>204</v>
      </c>
      <c r="D780" s="190" t="s">
        <v>266</v>
      </c>
      <c r="E780" s="191" t="s">
        <v>348</v>
      </c>
      <c r="F780" s="212"/>
      <c r="G780" s="212"/>
      <c r="H780" s="212"/>
      <c r="I780" s="213">
        <v>2</v>
      </c>
      <c r="J780" s="213">
        <v>3</v>
      </c>
      <c r="K780" s="85">
        <v>42156</v>
      </c>
      <c r="L780" s="250"/>
      <c r="M780" s="253"/>
      <c r="U780" s="218">
        <v>2</v>
      </c>
      <c r="V780" s="19" t="s">
        <v>244</v>
      </c>
      <c r="W780" s="19"/>
      <c r="X780" s="241"/>
    </row>
    <row r="781" spans="1:24" ht="45" x14ac:dyDescent="0.25">
      <c r="A781" s="230" t="s">
        <v>143</v>
      </c>
      <c r="B781" s="190" t="s">
        <v>338</v>
      </c>
      <c r="C781" s="190" t="s">
        <v>204</v>
      </c>
      <c r="D781" s="190" t="s">
        <v>341</v>
      </c>
      <c r="E781" s="191" t="s">
        <v>348</v>
      </c>
      <c r="F781" s="212"/>
      <c r="G781" s="212"/>
      <c r="H781" s="212"/>
      <c r="I781" s="213">
        <v>2</v>
      </c>
      <c r="J781" s="213">
        <v>3</v>
      </c>
      <c r="K781" s="85">
        <v>42156</v>
      </c>
      <c r="L781" s="250"/>
      <c r="M781" s="253"/>
      <c r="U781" s="218">
        <v>51</v>
      </c>
      <c r="V781" s="19" t="s">
        <v>244</v>
      </c>
      <c r="W781" s="19"/>
      <c r="X781" s="241"/>
    </row>
    <row r="782" spans="1:24" ht="75" x14ac:dyDescent="0.25">
      <c r="A782" s="230" t="s">
        <v>143</v>
      </c>
      <c r="B782" s="190" t="s">
        <v>338</v>
      </c>
      <c r="C782" s="190" t="s">
        <v>204</v>
      </c>
      <c r="D782" s="190" t="s">
        <v>252</v>
      </c>
      <c r="E782" s="191" t="s">
        <v>348</v>
      </c>
      <c r="F782" s="212"/>
      <c r="G782" s="212"/>
      <c r="H782" s="212"/>
      <c r="I782" s="213">
        <v>2</v>
      </c>
      <c r="J782" s="213">
        <v>3</v>
      </c>
      <c r="K782" s="85">
        <v>42156</v>
      </c>
      <c r="L782" s="250"/>
      <c r="M782" s="253"/>
      <c r="U782" s="218">
        <v>3</v>
      </c>
      <c r="V782" s="19" t="s">
        <v>244</v>
      </c>
      <c r="W782" s="19"/>
      <c r="X782" s="241"/>
    </row>
    <row r="783" spans="1:24" ht="30" x14ac:dyDescent="0.25">
      <c r="A783" s="230" t="s">
        <v>143</v>
      </c>
      <c r="B783" s="190" t="s">
        <v>338</v>
      </c>
      <c r="C783" s="190" t="s">
        <v>204</v>
      </c>
      <c r="D783" s="190" t="s">
        <v>259</v>
      </c>
      <c r="E783" s="191" t="s">
        <v>0</v>
      </c>
      <c r="F783" s="212"/>
      <c r="G783" s="212"/>
      <c r="H783" s="212"/>
      <c r="I783" s="213">
        <v>1</v>
      </c>
      <c r="J783" s="213">
        <v>2</v>
      </c>
      <c r="K783" s="85">
        <v>42156</v>
      </c>
      <c r="L783" s="250"/>
      <c r="M783" s="253"/>
      <c r="U783" s="218">
        <v>55</v>
      </c>
      <c r="V783" s="19" t="s">
        <v>244</v>
      </c>
      <c r="W783" s="19"/>
      <c r="X783" s="241"/>
    </row>
    <row r="784" spans="1:24" ht="45" x14ac:dyDescent="0.25">
      <c r="A784" s="224" t="s">
        <v>143</v>
      </c>
      <c r="B784" s="160" t="s">
        <v>338</v>
      </c>
      <c r="C784" s="160" t="s">
        <v>204</v>
      </c>
      <c r="D784" s="160" t="s">
        <v>247</v>
      </c>
      <c r="E784" s="47" t="s">
        <v>34</v>
      </c>
      <c r="F784" s="212"/>
      <c r="G784" s="212"/>
      <c r="H784" s="212"/>
      <c r="I784" s="213">
        <v>1</v>
      </c>
      <c r="J784" s="213">
        <v>2</v>
      </c>
      <c r="K784" s="85">
        <v>42156</v>
      </c>
      <c r="L784" s="250"/>
      <c r="M784" s="253"/>
      <c r="U784" s="218">
        <v>56</v>
      </c>
      <c r="V784" s="19" t="s">
        <v>244</v>
      </c>
      <c r="W784" s="19"/>
      <c r="X784" s="241"/>
    </row>
    <row r="785" spans="1:24" ht="45" x14ac:dyDescent="0.25">
      <c r="A785" s="224" t="s">
        <v>143</v>
      </c>
      <c r="B785" s="160" t="s">
        <v>338</v>
      </c>
      <c r="C785" s="160" t="s">
        <v>204</v>
      </c>
      <c r="D785" s="160" t="s">
        <v>248</v>
      </c>
      <c r="E785" s="47" t="s">
        <v>34</v>
      </c>
      <c r="F785" s="135"/>
      <c r="G785" s="135"/>
      <c r="H785" s="135"/>
      <c r="I785" s="27">
        <v>2</v>
      </c>
      <c r="J785" s="27">
        <v>3</v>
      </c>
      <c r="K785" s="85">
        <v>42156</v>
      </c>
      <c r="L785" s="250"/>
      <c r="M785" s="253"/>
      <c r="U785" s="218">
        <v>56</v>
      </c>
      <c r="V785" s="19" t="s">
        <v>244</v>
      </c>
      <c r="W785" s="19"/>
      <c r="X785" s="241"/>
    </row>
    <row r="786" spans="1:24" ht="45" x14ac:dyDescent="0.25">
      <c r="A786" s="224" t="s">
        <v>143</v>
      </c>
      <c r="B786" s="160" t="s">
        <v>338</v>
      </c>
      <c r="C786" s="160" t="s">
        <v>204</v>
      </c>
      <c r="D786" s="160" t="s">
        <v>260</v>
      </c>
      <c r="E786" s="161" t="s">
        <v>35</v>
      </c>
      <c r="F786" s="135"/>
      <c r="G786" s="135"/>
      <c r="H786" s="135"/>
      <c r="I786" s="27">
        <v>1</v>
      </c>
      <c r="J786" s="27">
        <v>2</v>
      </c>
      <c r="K786" s="85">
        <v>42156</v>
      </c>
      <c r="L786" s="250"/>
      <c r="M786" s="253"/>
      <c r="U786" s="218">
        <v>57</v>
      </c>
      <c r="V786" s="19" t="s">
        <v>244</v>
      </c>
      <c r="W786" s="19"/>
      <c r="X786" s="241"/>
    </row>
    <row r="787" spans="1:24" ht="30" x14ac:dyDescent="0.25">
      <c r="A787" s="224" t="s">
        <v>143</v>
      </c>
      <c r="B787" s="160" t="s">
        <v>338</v>
      </c>
      <c r="C787" s="160" t="s">
        <v>204</v>
      </c>
      <c r="D787" s="160" t="s">
        <v>249</v>
      </c>
      <c r="E787" s="162" t="s">
        <v>36</v>
      </c>
      <c r="F787" s="135"/>
      <c r="G787" s="135"/>
      <c r="H787" s="135"/>
      <c r="I787" s="27">
        <v>1</v>
      </c>
      <c r="J787" s="27">
        <v>2</v>
      </c>
      <c r="K787" s="85">
        <v>42156</v>
      </c>
      <c r="L787" s="250"/>
      <c r="M787" s="253"/>
      <c r="U787" s="218">
        <v>58</v>
      </c>
      <c r="V787" s="19" t="s">
        <v>244</v>
      </c>
      <c r="W787" s="19"/>
      <c r="X787" s="241"/>
    </row>
    <row r="788" spans="1:24" ht="30" x14ac:dyDescent="0.25">
      <c r="A788" s="224" t="s">
        <v>143</v>
      </c>
      <c r="B788" s="160" t="s">
        <v>338</v>
      </c>
      <c r="C788" s="160" t="s">
        <v>204</v>
      </c>
      <c r="D788" s="160" t="s">
        <v>261</v>
      </c>
      <c r="E788" s="47" t="s">
        <v>37</v>
      </c>
      <c r="F788" s="135"/>
      <c r="G788" s="135"/>
      <c r="H788" s="135"/>
      <c r="I788" s="27">
        <v>1</v>
      </c>
      <c r="J788" s="27">
        <v>2</v>
      </c>
      <c r="K788" s="85">
        <v>42156</v>
      </c>
      <c r="L788" s="250"/>
      <c r="M788" s="253"/>
      <c r="U788" s="218">
        <v>59</v>
      </c>
      <c r="V788" s="19" t="s">
        <v>244</v>
      </c>
      <c r="W788" s="19"/>
      <c r="X788" s="241"/>
    </row>
    <row r="789" spans="1:24" ht="45.75" thickBot="1" x14ac:dyDescent="0.3">
      <c r="A789" s="225" t="s">
        <v>143</v>
      </c>
      <c r="B789" s="163" t="s">
        <v>338</v>
      </c>
      <c r="C789" s="163" t="s">
        <v>204</v>
      </c>
      <c r="D789" s="163" t="s">
        <v>262</v>
      </c>
      <c r="E789" s="164" t="s">
        <v>38</v>
      </c>
      <c r="F789" s="136"/>
      <c r="G789" s="136"/>
      <c r="H789" s="136"/>
      <c r="I789" s="35">
        <v>2</v>
      </c>
      <c r="J789" s="35">
        <v>2</v>
      </c>
      <c r="K789" s="86">
        <v>42156</v>
      </c>
      <c r="L789" s="251"/>
      <c r="M789" s="254"/>
      <c r="U789" s="218">
        <v>60</v>
      </c>
      <c r="V789" s="19" t="s">
        <v>244</v>
      </c>
      <c r="W789" s="19"/>
      <c r="X789" s="241"/>
    </row>
    <row r="790" spans="1:24" ht="30.75" thickTop="1" x14ac:dyDescent="0.25">
      <c r="A790" s="226" t="s">
        <v>143</v>
      </c>
      <c r="B790" s="165" t="s">
        <v>338</v>
      </c>
      <c r="C790" s="165" t="s">
        <v>205</v>
      </c>
      <c r="D790" s="165" t="s">
        <v>250</v>
      </c>
      <c r="E790" s="166" t="s">
        <v>348</v>
      </c>
      <c r="F790" s="140"/>
      <c r="G790" s="140"/>
      <c r="H790" s="140"/>
      <c r="I790" s="38">
        <v>2</v>
      </c>
      <c r="J790" s="38">
        <v>3</v>
      </c>
      <c r="K790" s="203">
        <v>42156</v>
      </c>
      <c r="L790" s="249" t="str">
        <f t="shared" ref="L790" si="85">CONCATENATE("Level"," ",MIN(I790:I799))</f>
        <v>Level 1</v>
      </c>
      <c r="M790" s="252" t="str">
        <f t="shared" ref="M790" si="86">CONCATENATE("Level"," ",MIN(J790:J799))</f>
        <v>Level 2</v>
      </c>
      <c r="U790" s="218">
        <v>1</v>
      </c>
      <c r="V790" s="19" t="s">
        <v>244</v>
      </c>
      <c r="W790" s="19"/>
      <c r="X790" s="241"/>
    </row>
    <row r="791" spans="1:24" ht="45" x14ac:dyDescent="0.25">
      <c r="A791" s="228" t="s">
        <v>143</v>
      </c>
      <c r="B791" s="199" t="s">
        <v>338</v>
      </c>
      <c r="C791" s="199" t="s">
        <v>205</v>
      </c>
      <c r="D791" s="199" t="s">
        <v>266</v>
      </c>
      <c r="E791" s="200" t="s">
        <v>348</v>
      </c>
      <c r="F791" s="214"/>
      <c r="G791" s="214"/>
      <c r="H791" s="214"/>
      <c r="I791" s="215">
        <v>2</v>
      </c>
      <c r="J791" s="215">
        <v>3</v>
      </c>
      <c r="K791" s="88">
        <v>42156</v>
      </c>
      <c r="L791" s="250"/>
      <c r="M791" s="253"/>
      <c r="U791" s="218">
        <v>2</v>
      </c>
      <c r="V791" s="19" t="s">
        <v>244</v>
      </c>
      <c r="W791" s="19"/>
      <c r="X791" s="241"/>
    </row>
    <row r="792" spans="1:24" ht="75" x14ac:dyDescent="0.25">
      <c r="A792" s="228" t="s">
        <v>143</v>
      </c>
      <c r="B792" s="199" t="s">
        <v>338</v>
      </c>
      <c r="C792" s="199" t="s">
        <v>205</v>
      </c>
      <c r="D792" s="199" t="s">
        <v>252</v>
      </c>
      <c r="E792" s="200" t="s">
        <v>348</v>
      </c>
      <c r="F792" s="214"/>
      <c r="G792" s="214"/>
      <c r="H792" s="214"/>
      <c r="I792" s="215">
        <v>2</v>
      </c>
      <c r="J792" s="215">
        <v>3</v>
      </c>
      <c r="K792" s="88">
        <v>42156</v>
      </c>
      <c r="L792" s="250"/>
      <c r="M792" s="253"/>
      <c r="U792" s="218">
        <v>3</v>
      </c>
      <c r="V792" s="19" t="s">
        <v>244</v>
      </c>
      <c r="W792" s="19"/>
      <c r="X792" s="241"/>
    </row>
    <row r="793" spans="1:24" ht="30" x14ac:dyDescent="0.25">
      <c r="A793" s="228" t="s">
        <v>143</v>
      </c>
      <c r="B793" s="199" t="s">
        <v>338</v>
      </c>
      <c r="C793" s="199" t="s">
        <v>205</v>
      </c>
      <c r="D793" s="199" t="s">
        <v>263</v>
      </c>
      <c r="E793" s="200" t="s">
        <v>0</v>
      </c>
      <c r="F793" s="214"/>
      <c r="G793" s="214"/>
      <c r="H793" s="214"/>
      <c r="I793" s="215">
        <v>2</v>
      </c>
      <c r="J793" s="215">
        <v>2</v>
      </c>
      <c r="K793" s="88">
        <v>42156</v>
      </c>
      <c r="L793" s="250"/>
      <c r="M793" s="253"/>
      <c r="U793" s="218">
        <v>55</v>
      </c>
      <c r="V793" s="19" t="s">
        <v>244</v>
      </c>
      <c r="W793" s="19"/>
      <c r="X793" s="241"/>
    </row>
    <row r="794" spans="1:24" ht="45" x14ac:dyDescent="0.25">
      <c r="A794" s="227" t="s">
        <v>143</v>
      </c>
      <c r="B794" s="167" t="s">
        <v>338</v>
      </c>
      <c r="C794" s="167" t="s">
        <v>205</v>
      </c>
      <c r="D794" s="167" t="s">
        <v>247</v>
      </c>
      <c r="E794" s="50" t="s">
        <v>34</v>
      </c>
      <c r="F794" s="214"/>
      <c r="G794" s="214"/>
      <c r="H794" s="214"/>
      <c r="I794" s="215">
        <v>2</v>
      </c>
      <c r="J794" s="215">
        <v>2</v>
      </c>
      <c r="K794" s="88">
        <v>42156</v>
      </c>
      <c r="L794" s="250"/>
      <c r="M794" s="253"/>
      <c r="U794" s="218">
        <v>56</v>
      </c>
      <c r="V794" s="19" t="s">
        <v>244</v>
      </c>
      <c r="W794" s="19"/>
      <c r="X794" s="241"/>
    </row>
    <row r="795" spans="1:24" ht="45" x14ac:dyDescent="0.25">
      <c r="A795" s="227" t="s">
        <v>143</v>
      </c>
      <c r="B795" s="167" t="s">
        <v>338</v>
      </c>
      <c r="C795" s="167" t="s">
        <v>205</v>
      </c>
      <c r="D795" s="167" t="s">
        <v>248</v>
      </c>
      <c r="E795" s="50" t="s">
        <v>34</v>
      </c>
      <c r="F795" s="141"/>
      <c r="G795" s="141"/>
      <c r="H795" s="141"/>
      <c r="I795" s="28">
        <v>4</v>
      </c>
      <c r="J795" s="28">
        <v>4</v>
      </c>
      <c r="K795" s="88">
        <v>42156</v>
      </c>
      <c r="L795" s="250"/>
      <c r="M795" s="253"/>
      <c r="U795" s="218">
        <v>56</v>
      </c>
      <c r="V795" s="19" t="s">
        <v>244</v>
      </c>
      <c r="W795" s="19"/>
      <c r="X795" s="241"/>
    </row>
    <row r="796" spans="1:24" ht="45" x14ac:dyDescent="0.25">
      <c r="A796" s="227" t="s">
        <v>143</v>
      </c>
      <c r="B796" s="167" t="s">
        <v>338</v>
      </c>
      <c r="C796" s="167" t="s">
        <v>205</v>
      </c>
      <c r="D796" s="167" t="s">
        <v>260</v>
      </c>
      <c r="E796" s="168" t="s">
        <v>35</v>
      </c>
      <c r="F796" s="141"/>
      <c r="G796" s="141"/>
      <c r="H796" s="141"/>
      <c r="I796" s="28">
        <v>1</v>
      </c>
      <c r="J796" s="28">
        <v>2</v>
      </c>
      <c r="K796" s="88">
        <v>42156</v>
      </c>
      <c r="L796" s="250"/>
      <c r="M796" s="253"/>
      <c r="U796" s="218">
        <v>57</v>
      </c>
      <c r="V796" s="19" t="s">
        <v>244</v>
      </c>
      <c r="W796" s="19"/>
      <c r="X796" s="241"/>
    </row>
    <row r="797" spans="1:24" ht="30" x14ac:dyDescent="0.25">
      <c r="A797" s="227" t="s">
        <v>143</v>
      </c>
      <c r="B797" s="167" t="s">
        <v>338</v>
      </c>
      <c r="C797" s="167" t="s">
        <v>205</v>
      </c>
      <c r="D797" s="167" t="s">
        <v>249</v>
      </c>
      <c r="E797" s="169" t="s">
        <v>36</v>
      </c>
      <c r="F797" s="141"/>
      <c r="G797" s="141"/>
      <c r="H797" s="141"/>
      <c r="I797" s="28">
        <v>2</v>
      </c>
      <c r="J797" s="28">
        <v>3</v>
      </c>
      <c r="K797" s="88">
        <v>42156</v>
      </c>
      <c r="L797" s="250"/>
      <c r="M797" s="253"/>
      <c r="U797" s="218">
        <v>58</v>
      </c>
      <c r="V797" s="19" t="s">
        <v>244</v>
      </c>
      <c r="W797" s="19"/>
      <c r="X797" s="241"/>
    </row>
    <row r="798" spans="1:24" ht="30" x14ac:dyDescent="0.25">
      <c r="A798" s="227" t="s">
        <v>143</v>
      </c>
      <c r="B798" s="167" t="s">
        <v>338</v>
      </c>
      <c r="C798" s="167" t="s">
        <v>205</v>
      </c>
      <c r="D798" s="167" t="s">
        <v>261</v>
      </c>
      <c r="E798" s="50" t="s">
        <v>37</v>
      </c>
      <c r="F798" s="141"/>
      <c r="G798" s="141"/>
      <c r="H798" s="141"/>
      <c r="I798" s="28">
        <v>2</v>
      </c>
      <c r="J798" s="28">
        <v>3</v>
      </c>
      <c r="K798" s="88">
        <v>42156</v>
      </c>
      <c r="L798" s="250"/>
      <c r="M798" s="253"/>
      <c r="U798" s="218">
        <v>59</v>
      </c>
      <c r="V798" s="19" t="s">
        <v>244</v>
      </c>
      <c r="W798" s="19"/>
      <c r="X798" s="241"/>
    </row>
    <row r="799" spans="1:24" ht="45.75" thickBot="1" x14ac:dyDescent="0.3">
      <c r="A799" s="229" t="s">
        <v>143</v>
      </c>
      <c r="B799" s="170" t="s">
        <v>338</v>
      </c>
      <c r="C799" s="170" t="s">
        <v>205</v>
      </c>
      <c r="D799" s="170" t="s">
        <v>262</v>
      </c>
      <c r="E799" s="171" t="s">
        <v>38</v>
      </c>
      <c r="F799" s="142"/>
      <c r="G799" s="142"/>
      <c r="H799" s="142"/>
      <c r="I799" s="39">
        <v>2</v>
      </c>
      <c r="J799" s="39">
        <v>2</v>
      </c>
      <c r="K799" s="89">
        <v>42156</v>
      </c>
      <c r="L799" s="251"/>
      <c r="M799" s="254"/>
      <c r="U799" s="218">
        <v>60</v>
      </c>
      <c r="V799" s="19" t="s">
        <v>244</v>
      </c>
      <c r="W799" s="19"/>
      <c r="X799" s="241"/>
    </row>
    <row r="800" spans="1:24" ht="30.75" thickTop="1" x14ac:dyDescent="0.25">
      <c r="A800" s="231" t="s">
        <v>143</v>
      </c>
      <c r="B800" s="158" t="s">
        <v>338</v>
      </c>
      <c r="C800" s="158" t="s">
        <v>206</v>
      </c>
      <c r="D800" s="158" t="s">
        <v>250</v>
      </c>
      <c r="E800" s="159" t="s">
        <v>348</v>
      </c>
      <c r="F800" s="134"/>
      <c r="G800" s="134"/>
      <c r="H800" s="134"/>
      <c r="I800" s="34">
        <v>2</v>
      </c>
      <c r="J800" s="34">
        <v>3</v>
      </c>
      <c r="K800" s="233">
        <v>42156</v>
      </c>
      <c r="L800" s="249" t="str">
        <f t="shared" ref="L800" si="87">CONCATENATE("Level"," ",MIN(I800:I809))</f>
        <v>Level 1</v>
      </c>
      <c r="M800" s="252" t="str">
        <f t="shared" ref="M800" si="88">CONCATENATE("Level"," ",MIN(J800:J809))</f>
        <v>Level 1</v>
      </c>
      <c r="U800" s="218">
        <v>1</v>
      </c>
      <c r="V800" s="19" t="s">
        <v>244</v>
      </c>
      <c r="W800" s="19"/>
      <c r="X800" s="241"/>
    </row>
    <row r="801" spans="1:24" ht="45" x14ac:dyDescent="0.25">
      <c r="A801" s="230" t="s">
        <v>143</v>
      </c>
      <c r="B801" s="190" t="s">
        <v>338</v>
      </c>
      <c r="C801" s="190" t="s">
        <v>206</v>
      </c>
      <c r="D801" s="190" t="s">
        <v>266</v>
      </c>
      <c r="E801" s="191" t="s">
        <v>348</v>
      </c>
      <c r="F801" s="212"/>
      <c r="G801" s="212"/>
      <c r="H801" s="212"/>
      <c r="I801" s="213">
        <v>2</v>
      </c>
      <c r="J801" s="213">
        <v>3</v>
      </c>
      <c r="K801" s="85">
        <v>42156</v>
      </c>
      <c r="L801" s="250"/>
      <c r="M801" s="253"/>
      <c r="U801" s="218">
        <v>2</v>
      </c>
      <c r="V801" s="19" t="s">
        <v>244</v>
      </c>
      <c r="W801" s="19"/>
      <c r="X801" s="241"/>
    </row>
    <row r="802" spans="1:24" ht="75" x14ac:dyDescent="0.25">
      <c r="A802" s="230" t="s">
        <v>143</v>
      </c>
      <c r="B802" s="190" t="s">
        <v>338</v>
      </c>
      <c r="C802" s="190" t="s">
        <v>206</v>
      </c>
      <c r="D802" s="190" t="s">
        <v>252</v>
      </c>
      <c r="E802" s="191" t="s">
        <v>348</v>
      </c>
      <c r="F802" s="212"/>
      <c r="G802" s="212"/>
      <c r="H802" s="212"/>
      <c r="I802" s="213">
        <v>1</v>
      </c>
      <c r="J802" s="213">
        <v>2</v>
      </c>
      <c r="K802" s="85">
        <v>42156</v>
      </c>
      <c r="L802" s="250"/>
      <c r="M802" s="253"/>
      <c r="U802" s="218">
        <v>3</v>
      </c>
      <c r="V802" s="19" t="s">
        <v>244</v>
      </c>
      <c r="W802" s="19"/>
      <c r="X802" s="241"/>
    </row>
    <row r="803" spans="1:24" ht="30" x14ac:dyDescent="0.25">
      <c r="A803" s="230" t="s">
        <v>143</v>
      </c>
      <c r="B803" s="190" t="s">
        <v>338</v>
      </c>
      <c r="C803" s="190" t="s">
        <v>206</v>
      </c>
      <c r="D803" s="190" t="s">
        <v>259</v>
      </c>
      <c r="E803" s="191" t="s">
        <v>0</v>
      </c>
      <c r="F803" s="212"/>
      <c r="G803" s="212"/>
      <c r="H803" s="212"/>
      <c r="I803" s="213">
        <v>1</v>
      </c>
      <c r="J803" s="213">
        <v>1</v>
      </c>
      <c r="K803" s="85">
        <v>42156</v>
      </c>
      <c r="L803" s="250"/>
      <c r="M803" s="253"/>
      <c r="U803" s="218">
        <v>55</v>
      </c>
      <c r="V803" s="19" t="s">
        <v>244</v>
      </c>
      <c r="W803" s="19"/>
      <c r="X803" s="241"/>
    </row>
    <row r="804" spans="1:24" ht="45" x14ac:dyDescent="0.25">
      <c r="A804" s="224" t="s">
        <v>143</v>
      </c>
      <c r="B804" s="160" t="s">
        <v>338</v>
      </c>
      <c r="C804" s="160" t="s">
        <v>206</v>
      </c>
      <c r="D804" s="190" t="s">
        <v>247</v>
      </c>
      <c r="E804" s="47" t="s">
        <v>34</v>
      </c>
      <c r="F804" s="212"/>
      <c r="G804" s="212"/>
      <c r="H804" s="212"/>
      <c r="I804" s="213">
        <v>2</v>
      </c>
      <c r="J804" s="213">
        <v>2</v>
      </c>
      <c r="K804" s="85">
        <v>42156</v>
      </c>
      <c r="L804" s="250"/>
      <c r="M804" s="253"/>
      <c r="U804" s="218">
        <v>56</v>
      </c>
      <c r="V804" s="19" t="s">
        <v>244</v>
      </c>
      <c r="W804" s="19"/>
      <c r="X804" s="241"/>
    </row>
    <row r="805" spans="1:24" ht="45" x14ac:dyDescent="0.25">
      <c r="A805" s="224" t="s">
        <v>143</v>
      </c>
      <c r="B805" s="160" t="s">
        <v>338</v>
      </c>
      <c r="C805" s="160" t="s">
        <v>206</v>
      </c>
      <c r="D805" s="160" t="s">
        <v>248</v>
      </c>
      <c r="E805" s="47" t="s">
        <v>34</v>
      </c>
      <c r="F805" s="135"/>
      <c r="G805" s="135"/>
      <c r="H805" s="135"/>
      <c r="I805" s="27">
        <v>2</v>
      </c>
      <c r="J805" s="27">
        <v>3</v>
      </c>
      <c r="K805" s="85">
        <v>42156</v>
      </c>
      <c r="L805" s="250"/>
      <c r="M805" s="253"/>
      <c r="U805" s="218">
        <v>56</v>
      </c>
      <c r="V805" s="19" t="s">
        <v>244</v>
      </c>
      <c r="W805" s="19"/>
      <c r="X805" s="241"/>
    </row>
    <row r="806" spans="1:24" ht="45" x14ac:dyDescent="0.25">
      <c r="A806" s="224" t="s">
        <v>143</v>
      </c>
      <c r="B806" s="160" t="s">
        <v>338</v>
      </c>
      <c r="C806" s="160" t="s">
        <v>206</v>
      </c>
      <c r="D806" s="160" t="s">
        <v>260</v>
      </c>
      <c r="E806" s="161" t="s">
        <v>35</v>
      </c>
      <c r="F806" s="135"/>
      <c r="G806" s="135"/>
      <c r="H806" s="135"/>
      <c r="I806" s="27">
        <v>2</v>
      </c>
      <c r="J806" s="27">
        <v>3</v>
      </c>
      <c r="K806" s="85">
        <v>42156</v>
      </c>
      <c r="L806" s="250"/>
      <c r="M806" s="253"/>
      <c r="U806" s="218">
        <v>57</v>
      </c>
      <c r="V806" s="19" t="s">
        <v>244</v>
      </c>
      <c r="W806" s="19"/>
      <c r="X806" s="241"/>
    </row>
    <row r="807" spans="1:24" ht="30" x14ac:dyDescent="0.25">
      <c r="A807" s="224" t="s">
        <v>143</v>
      </c>
      <c r="B807" s="160" t="s">
        <v>338</v>
      </c>
      <c r="C807" s="160" t="s">
        <v>206</v>
      </c>
      <c r="D807" s="160" t="s">
        <v>249</v>
      </c>
      <c r="E807" s="162" t="s">
        <v>36</v>
      </c>
      <c r="F807" s="135"/>
      <c r="G807" s="135"/>
      <c r="H807" s="135"/>
      <c r="I807" s="27">
        <v>2</v>
      </c>
      <c r="J807" s="27">
        <v>3</v>
      </c>
      <c r="K807" s="85">
        <v>42156</v>
      </c>
      <c r="L807" s="250"/>
      <c r="M807" s="253"/>
      <c r="U807" s="218">
        <v>58</v>
      </c>
      <c r="V807" s="19" t="s">
        <v>244</v>
      </c>
      <c r="W807" s="19"/>
      <c r="X807" s="241"/>
    </row>
    <row r="808" spans="1:24" ht="30" x14ac:dyDescent="0.25">
      <c r="A808" s="224" t="s">
        <v>143</v>
      </c>
      <c r="B808" s="160" t="s">
        <v>338</v>
      </c>
      <c r="C808" s="160" t="s">
        <v>206</v>
      </c>
      <c r="D808" s="160" t="s">
        <v>261</v>
      </c>
      <c r="E808" s="47" t="s">
        <v>37</v>
      </c>
      <c r="F808" s="135"/>
      <c r="G808" s="135"/>
      <c r="H808" s="135"/>
      <c r="I808" s="27">
        <v>2</v>
      </c>
      <c r="J808" s="27">
        <v>3</v>
      </c>
      <c r="K808" s="85">
        <v>42156</v>
      </c>
      <c r="L808" s="250"/>
      <c r="M808" s="253"/>
      <c r="U808" s="218">
        <v>59</v>
      </c>
      <c r="V808" s="19" t="s">
        <v>244</v>
      </c>
      <c r="W808" s="19"/>
      <c r="X808" s="241"/>
    </row>
    <row r="809" spans="1:24" ht="45.75" thickBot="1" x14ac:dyDescent="0.3">
      <c r="A809" s="225" t="s">
        <v>143</v>
      </c>
      <c r="B809" s="163" t="s">
        <v>338</v>
      </c>
      <c r="C809" s="163" t="s">
        <v>206</v>
      </c>
      <c r="D809" s="163" t="s">
        <v>262</v>
      </c>
      <c r="E809" s="164" t="s">
        <v>38</v>
      </c>
      <c r="F809" s="136"/>
      <c r="G809" s="136"/>
      <c r="H809" s="136"/>
      <c r="I809" s="35">
        <v>2</v>
      </c>
      <c r="J809" s="35">
        <v>2</v>
      </c>
      <c r="K809" s="86">
        <v>42156</v>
      </c>
      <c r="L809" s="251"/>
      <c r="M809" s="254"/>
      <c r="U809" s="218">
        <v>60</v>
      </c>
      <c r="V809" s="19" t="s">
        <v>244</v>
      </c>
      <c r="W809" s="19"/>
      <c r="X809" s="241"/>
    </row>
    <row r="810" spans="1:24" ht="45.75" thickTop="1" x14ac:dyDescent="0.25">
      <c r="A810" s="226" t="s">
        <v>5</v>
      </c>
      <c r="B810" s="165" t="s">
        <v>342</v>
      </c>
      <c r="C810" s="165" t="s">
        <v>126</v>
      </c>
      <c r="D810" s="165" t="s">
        <v>250</v>
      </c>
      <c r="E810" s="166" t="s">
        <v>348</v>
      </c>
      <c r="F810" s="137"/>
      <c r="G810" s="137"/>
      <c r="H810" s="137"/>
      <c r="I810" s="36">
        <v>2</v>
      </c>
      <c r="J810" s="36">
        <v>3</v>
      </c>
      <c r="K810" s="203">
        <v>42156</v>
      </c>
      <c r="L810" s="249" t="str">
        <f t="shared" ref="L810" si="89">CONCATENATE("Level"," ",MIN(I810:I820))</f>
        <v>Level 2</v>
      </c>
      <c r="M810" s="252" t="str">
        <f t="shared" ref="M810" si="90">CONCATENATE("Level"," ",MIN(J810:J820))</f>
        <v>Level 3</v>
      </c>
      <c r="U810" s="218">
        <v>1</v>
      </c>
      <c r="V810" s="19" t="s">
        <v>244</v>
      </c>
      <c r="W810" s="19" t="s">
        <v>209</v>
      </c>
      <c r="X810" s="241"/>
    </row>
    <row r="811" spans="1:24" ht="60" x14ac:dyDescent="0.25">
      <c r="A811" s="228" t="s">
        <v>5</v>
      </c>
      <c r="B811" s="199" t="s">
        <v>342</v>
      </c>
      <c r="C811" s="199" t="s">
        <v>126</v>
      </c>
      <c r="D811" s="199" t="s">
        <v>343</v>
      </c>
      <c r="E811" s="200" t="s">
        <v>348</v>
      </c>
      <c r="F811" s="216"/>
      <c r="G811" s="216"/>
      <c r="H811" s="216"/>
      <c r="I811" s="217">
        <v>2</v>
      </c>
      <c r="J811" s="217">
        <v>3</v>
      </c>
      <c r="K811" s="88">
        <v>42156</v>
      </c>
      <c r="L811" s="250"/>
      <c r="M811" s="253"/>
      <c r="U811" s="218">
        <v>52</v>
      </c>
      <c r="V811" s="19" t="s">
        <v>244</v>
      </c>
      <c r="W811" s="19" t="s">
        <v>209</v>
      </c>
      <c r="X811" s="241"/>
    </row>
    <row r="812" spans="1:24" ht="45" x14ac:dyDescent="0.25">
      <c r="A812" s="228" t="s">
        <v>5</v>
      </c>
      <c r="B812" s="199" t="s">
        <v>342</v>
      </c>
      <c r="C812" s="199" t="s">
        <v>126</v>
      </c>
      <c r="D812" s="199" t="s">
        <v>266</v>
      </c>
      <c r="E812" s="200" t="s">
        <v>348</v>
      </c>
      <c r="F812" s="216"/>
      <c r="G812" s="216"/>
      <c r="H812" s="216"/>
      <c r="I812" s="217">
        <v>2</v>
      </c>
      <c r="J812" s="217">
        <v>3</v>
      </c>
      <c r="K812" s="88">
        <v>42156</v>
      </c>
      <c r="L812" s="250"/>
      <c r="M812" s="253"/>
      <c r="U812" s="218">
        <v>2</v>
      </c>
      <c r="V812" s="19" t="s">
        <v>244</v>
      </c>
      <c r="W812" s="19" t="s">
        <v>209</v>
      </c>
      <c r="X812" s="241"/>
    </row>
    <row r="813" spans="1:24" ht="75" x14ac:dyDescent="0.25">
      <c r="A813" s="228" t="s">
        <v>5</v>
      </c>
      <c r="B813" s="199" t="s">
        <v>342</v>
      </c>
      <c r="C813" s="199" t="s">
        <v>126</v>
      </c>
      <c r="D813" s="199" t="s">
        <v>252</v>
      </c>
      <c r="E813" s="200" t="s">
        <v>348</v>
      </c>
      <c r="F813" s="216"/>
      <c r="G813" s="216"/>
      <c r="H813" s="216"/>
      <c r="I813" s="217">
        <v>3</v>
      </c>
      <c r="J813" s="217">
        <v>3</v>
      </c>
      <c r="K813" s="88">
        <v>42156</v>
      </c>
      <c r="L813" s="250"/>
      <c r="M813" s="253"/>
      <c r="U813" s="218">
        <v>3</v>
      </c>
      <c r="V813" s="19" t="s">
        <v>244</v>
      </c>
      <c r="W813" s="19" t="s">
        <v>209</v>
      </c>
      <c r="X813" s="241"/>
    </row>
    <row r="814" spans="1:24" ht="45" x14ac:dyDescent="0.25">
      <c r="A814" s="228" t="s">
        <v>5</v>
      </c>
      <c r="B814" s="199" t="s">
        <v>342</v>
      </c>
      <c r="C814" s="199" t="s">
        <v>126</v>
      </c>
      <c r="D814" s="199" t="s">
        <v>259</v>
      </c>
      <c r="E814" s="200" t="s">
        <v>0</v>
      </c>
      <c r="F814" s="216"/>
      <c r="G814" s="216"/>
      <c r="H814" s="216"/>
      <c r="I814" s="217">
        <v>2</v>
      </c>
      <c r="J814" s="217">
        <v>3</v>
      </c>
      <c r="K814" s="88">
        <v>42156</v>
      </c>
      <c r="L814" s="250"/>
      <c r="M814" s="253"/>
      <c r="U814" s="218">
        <v>55</v>
      </c>
      <c r="V814" s="19" t="s">
        <v>244</v>
      </c>
      <c r="W814" s="19" t="s">
        <v>209</v>
      </c>
      <c r="X814" s="241"/>
    </row>
    <row r="815" spans="1:24" ht="45" x14ac:dyDescent="0.25">
      <c r="A815" s="227" t="s">
        <v>5</v>
      </c>
      <c r="B815" s="167" t="s">
        <v>342</v>
      </c>
      <c r="C815" s="167" t="s">
        <v>126</v>
      </c>
      <c r="D815" s="167" t="s">
        <v>247</v>
      </c>
      <c r="E815" s="50" t="s">
        <v>34</v>
      </c>
      <c r="F815" s="216"/>
      <c r="G815" s="216"/>
      <c r="H815" s="216"/>
      <c r="I815" s="217">
        <v>2</v>
      </c>
      <c r="J815" s="217">
        <v>3</v>
      </c>
      <c r="K815" s="88">
        <v>42156</v>
      </c>
      <c r="L815" s="250"/>
      <c r="M815" s="253"/>
      <c r="U815" s="218">
        <v>56</v>
      </c>
      <c r="V815" s="19" t="s">
        <v>244</v>
      </c>
      <c r="W815" s="19" t="s">
        <v>209</v>
      </c>
      <c r="X815" s="241"/>
    </row>
    <row r="816" spans="1:24" ht="45" x14ac:dyDescent="0.25">
      <c r="A816" s="227" t="s">
        <v>5</v>
      </c>
      <c r="B816" s="167" t="s">
        <v>342</v>
      </c>
      <c r="C816" s="167" t="s">
        <v>126</v>
      </c>
      <c r="D816" s="167" t="s">
        <v>248</v>
      </c>
      <c r="E816" s="50" t="s">
        <v>34</v>
      </c>
      <c r="F816" s="138"/>
      <c r="G816" s="138"/>
      <c r="H816" s="138"/>
      <c r="I816" s="7">
        <v>2</v>
      </c>
      <c r="J816" s="7">
        <v>3</v>
      </c>
      <c r="K816" s="88">
        <v>42156</v>
      </c>
      <c r="L816" s="250"/>
      <c r="M816" s="253"/>
      <c r="U816" s="218">
        <v>56</v>
      </c>
      <c r="V816" s="19" t="s">
        <v>244</v>
      </c>
      <c r="W816" s="19" t="s">
        <v>209</v>
      </c>
      <c r="X816" s="241"/>
    </row>
    <row r="817" spans="1:24" ht="45" x14ac:dyDescent="0.25">
      <c r="A817" s="227" t="s">
        <v>5</v>
      </c>
      <c r="B817" s="167" t="s">
        <v>342</v>
      </c>
      <c r="C817" s="167" t="s">
        <v>126</v>
      </c>
      <c r="D817" s="167" t="s">
        <v>260</v>
      </c>
      <c r="E817" s="168" t="s">
        <v>35</v>
      </c>
      <c r="F817" s="138"/>
      <c r="G817" s="138"/>
      <c r="H817" s="138"/>
      <c r="I817" s="7">
        <v>2</v>
      </c>
      <c r="J817" s="7">
        <v>3</v>
      </c>
      <c r="K817" s="88">
        <v>42156</v>
      </c>
      <c r="L817" s="250"/>
      <c r="M817" s="253"/>
      <c r="U817" s="218">
        <v>57</v>
      </c>
      <c r="V817" s="19" t="s">
        <v>244</v>
      </c>
      <c r="W817" s="19" t="s">
        <v>209</v>
      </c>
      <c r="X817" s="241"/>
    </row>
    <row r="818" spans="1:24" ht="45" x14ac:dyDescent="0.25">
      <c r="A818" s="227" t="s">
        <v>5</v>
      </c>
      <c r="B818" s="167" t="s">
        <v>342</v>
      </c>
      <c r="C818" s="167" t="s">
        <v>126</v>
      </c>
      <c r="D818" s="167" t="s">
        <v>249</v>
      </c>
      <c r="E818" s="169" t="s">
        <v>36</v>
      </c>
      <c r="F818" s="138"/>
      <c r="G818" s="138"/>
      <c r="H818" s="138"/>
      <c r="I818" s="7">
        <v>2</v>
      </c>
      <c r="J818" s="7">
        <v>3</v>
      </c>
      <c r="K818" s="88">
        <v>42156</v>
      </c>
      <c r="L818" s="250"/>
      <c r="M818" s="253"/>
      <c r="U818" s="218">
        <v>58</v>
      </c>
      <c r="V818" s="19" t="s">
        <v>244</v>
      </c>
      <c r="W818" s="19" t="s">
        <v>209</v>
      </c>
      <c r="X818" s="241"/>
    </row>
    <row r="819" spans="1:24" ht="45" x14ac:dyDescent="0.25">
      <c r="A819" s="227" t="s">
        <v>5</v>
      </c>
      <c r="B819" s="167" t="s">
        <v>342</v>
      </c>
      <c r="C819" s="167" t="s">
        <v>126</v>
      </c>
      <c r="D819" s="167" t="s">
        <v>261</v>
      </c>
      <c r="E819" s="50" t="s">
        <v>37</v>
      </c>
      <c r="F819" s="138"/>
      <c r="G819" s="138"/>
      <c r="H819" s="138"/>
      <c r="I819" s="7">
        <v>3</v>
      </c>
      <c r="J819" s="7">
        <v>4</v>
      </c>
      <c r="K819" s="88">
        <v>42156</v>
      </c>
      <c r="L819" s="250"/>
      <c r="M819" s="253"/>
      <c r="U819" s="218">
        <v>59</v>
      </c>
      <c r="V819" s="19" t="s">
        <v>244</v>
      </c>
      <c r="W819" s="19" t="s">
        <v>209</v>
      </c>
      <c r="X819" s="241"/>
    </row>
    <row r="820" spans="1:24" ht="45.75" thickBot="1" x14ac:dyDescent="0.3">
      <c r="A820" s="229" t="s">
        <v>5</v>
      </c>
      <c r="B820" s="170" t="s">
        <v>342</v>
      </c>
      <c r="C820" s="170" t="s">
        <v>126</v>
      </c>
      <c r="D820" s="170" t="s">
        <v>262</v>
      </c>
      <c r="E820" s="171" t="s">
        <v>38</v>
      </c>
      <c r="F820" s="139"/>
      <c r="G820" s="139"/>
      <c r="H820" s="139"/>
      <c r="I820" s="37">
        <v>2</v>
      </c>
      <c r="J820" s="37">
        <v>3</v>
      </c>
      <c r="K820" s="89">
        <v>42156</v>
      </c>
      <c r="L820" s="251"/>
      <c r="M820" s="254"/>
      <c r="U820" s="218">
        <v>60</v>
      </c>
      <c r="V820" s="19" t="s">
        <v>244</v>
      </c>
      <c r="W820" s="19" t="s">
        <v>209</v>
      </c>
      <c r="X820" s="241"/>
    </row>
    <row r="821" spans="1:24" ht="30.75" thickTop="1" x14ac:dyDescent="0.25">
      <c r="A821" s="231" t="s">
        <v>5</v>
      </c>
      <c r="B821" s="158" t="s">
        <v>344</v>
      </c>
      <c r="C821" s="158" t="s">
        <v>127</v>
      </c>
      <c r="D821" s="158" t="s">
        <v>250</v>
      </c>
      <c r="E821" s="159" t="s">
        <v>348</v>
      </c>
      <c r="F821" s="134"/>
      <c r="G821" s="134"/>
      <c r="H821" s="134"/>
      <c r="I821" s="34">
        <v>3</v>
      </c>
      <c r="J821" s="34">
        <v>3</v>
      </c>
      <c r="K821" s="233">
        <v>42156</v>
      </c>
      <c r="L821" s="249" t="str">
        <f t="shared" ref="L821" si="91">CONCATENATE("Level"," ",MIN(I821:I831))</f>
        <v>Level 1</v>
      </c>
      <c r="M821" s="252" t="str">
        <f t="shared" ref="M821" si="92">CONCATENATE("Level"," ",MIN(J821:J831))</f>
        <v>Level 2</v>
      </c>
      <c r="U821" s="218">
        <v>1</v>
      </c>
      <c r="V821" s="19" t="s">
        <v>244</v>
      </c>
      <c r="W821" s="19" t="s">
        <v>209</v>
      </c>
      <c r="X821" s="240"/>
    </row>
    <row r="822" spans="1:24" ht="60" x14ac:dyDescent="0.25">
      <c r="A822" s="230" t="s">
        <v>5</v>
      </c>
      <c r="B822" s="190" t="s">
        <v>344</v>
      </c>
      <c r="C822" s="190" t="s">
        <v>127</v>
      </c>
      <c r="D822" s="190" t="s">
        <v>257</v>
      </c>
      <c r="E822" s="191" t="s">
        <v>348</v>
      </c>
      <c r="F822" s="212"/>
      <c r="G822" s="212"/>
      <c r="H822" s="212"/>
      <c r="I822" s="213">
        <v>1</v>
      </c>
      <c r="J822" s="213">
        <v>2</v>
      </c>
      <c r="K822" s="85">
        <v>42156</v>
      </c>
      <c r="L822" s="250"/>
      <c r="M822" s="253"/>
      <c r="U822" s="218">
        <v>4</v>
      </c>
      <c r="V822" s="19" t="s">
        <v>244</v>
      </c>
      <c r="W822" s="19" t="s">
        <v>209</v>
      </c>
      <c r="X822" s="240"/>
    </row>
    <row r="823" spans="1:24" ht="45" x14ac:dyDescent="0.25">
      <c r="A823" s="230" t="s">
        <v>5</v>
      </c>
      <c r="B823" s="190" t="s">
        <v>344</v>
      </c>
      <c r="C823" s="190" t="s">
        <v>127</v>
      </c>
      <c r="D823" s="190" t="s">
        <v>266</v>
      </c>
      <c r="E823" s="191" t="s">
        <v>348</v>
      </c>
      <c r="F823" s="212"/>
      <c r="G823" s="212"/>
      <c r="H823" s="212"/>
      <c r="I823" s="213">
        <v>2</v>
      </c>
      <c r="J823" s="213">
        <v>3</v>
      </c>
      <c r="K823" s="85">
        <v>42156</v>
      </c>
      <c r="L823" s="250"/>
      <c r="M823" s="253"/>
      <c r="U823" s="218">
        <v>2</v>
      </c>
      <c r="V823" s="19" t="s">
        <v>244</v>
      </c>
      <c r="W823" s="19" t="s">
        <v>209</v>
      </c>
      <c r="X823" s="240"/>
    </row>
    <row r="824" spans="1:24" ht="75" x14ac:dyDescent="0.25">
      <c r="A824" s="230" t="s">
        <v>5</v>
      </c>
      <c r="B824" s="190" t="s">
        <v>344</v>
      </c>
      <c r="C824" s="190" t="s">
        <v>127</v>
      </c>
      <c r="D824" s="190" t="s">
        <v>252</v>
      </c>
      <c r="E824" s="191" t="s">
        <v>348</v>
      </c>
      <c r="F824" s="212"/>
      <c r="G824" s="212"/>
      <c r="H824" s="212"/>
      <c r="I824" s="213">
        <v>2</v>
      </c>
      <c r="J824" s="213">
        <v>3</v>
      </c>
      <c r="K824" s="85">
        <v>42156</v>
      </c>
      <c r="L824" s="250"/>
      <c r="M824" s="253"/>
      <c r="U824" s="218">
        <v>3</v>
      </c>
      <c r="V824" s="19" t="s">
        <v>244</v>
      </c>
      <c r="W824" s="19" t="s">
        <v>209</v>
      </c>
      <c r="X824" s="240"/>
    </row>
    <row r="825" spans="1:24" ht="30" x14ac:dyDescent="0.25">
      <c r="A825" s="230" t="s">
        <v>5</v>
      </c>
      <c r="B825" s="190" t="s">
        <v>344</v>
      </c>
      <c r="C825" s="190" t="s">
        <v>127</v>
      </c>
      <c r="D825" s="190" t="s">
        <v>259</v>
      </c>
      <c r="E825" s="191" t="s">
        <v>0</v>
      </c>
      <c r="F825" s="212"/>
      <c r="G825" s="212"/>
      <c r="H825" s="212"/>
      <c r="I825" s="213">
        <v>2</v>
      </c>
      <c r="J825" s="213">
        <v>3</v>
      </c>
      <c r="K825" s="85">
        <v>42156</v>
      </c>
      <c r="L825" s="250"/>
      <c r="M825" s="253"/>
      <c r="U825" s="218">
        <v>55</v>
      </c>
      <c r="V825" s="19" t="s">
        <v>244</v>
      </c>
      <c r="W825" s="19" t="s">
        <v>209</v>
      </c>
      <c r="X825" s="240"/>
    </row>
    <row r="826" spans="1:24" ht="45" x14ac:dyDescent="0.25">
      <c r="A826" s="224" t="s">
        <v>5</v>
      </c>
      <c r="B826" s="160" t="s">
        <v>344</v>
      </c>
      <c r="C826" s="160" t="s">
        <v>127</v>
      </c>
      <c r="D826" s="160" t="s">
        <v>247</v>
      </c>
      <c r="E826" s="47" t="s">
        <v>34</v>
      </c>
      <c r="F826" s="212"/>
      <c r="G826" s="212"/>
      <c r="H826" s="212"/>
      <c r="I826" s="213">
        <v>2</v>
      </c>
      <c r="J826" s="213">
        <v>2</v>
      </c>
      <c r="K826" s="85">
        <v>42156</v>
      </c>
      <c r="L826" s="250"/>
      <c r="M826" s="253"/>
      <c r="U826" s="218">
        <v>56</v>
      </c>
      <c r="V826" s="19" t="s">
        <v>244</v>
      </c>
      <c r="W826" s="19" t="s">
        <v>209</v>
      </c>
      <c r="X826" s="240"/>
    </row>
    <row r="827" spans="1:24" ht="45" x14ac:dyDescent="0.25">
      <c r="A827" s="224" t="s">
        <v>5</v>
      </c>
      <c r="B827" s="160" t="s">
        <v>344</v>
      </c>
      <c r="C827" s="160" t="s">
        <v>127</v>
      </c>
      <c r="D827" s="160" t="s">
        <v>248</v>
      </c>
      <c r="E827" s="47" t="s">
        <v>34</v>
      </c>
      <c r="F827" s="135"/>
      <c r="G827" s="135"/>
      <c r="H827" s="135"/>
      <c r="I827" s="27">
        <v>2</v>
      </c>
      <c r="J827" s="27">
        <v>3</v>
      </c>
      <c r="K827" s="85">
        <v>42156</v>
      </c>
      <c r="L827" s="250"/>
      <c r="M827" s="253"/>
      <c r="U827" s="218">
        <v>56</v>
      </c>
      <c r="V827" s="19" t="s">
        <v>244</v>
      </c>
      <c r="W827" s="19" t="s">
        <v>209</v>
      </c>
      <c r="X827" s="240"/>
    </row>
    <row r="828" spans="1:24" ht="45" x14ac:dyDescent="0.25">
      <c r="A828" s="224" t="s">
        <v>5</v>
      </c>
      <c r="B828" s="160" t="s">
        <v>344</v>
      </c>
      <c r="C828" s="160" t="s">
        <v>127</v>
      </c>
      <c r="D828" s="160" t="s">
        <v>260</v>
      </c>
      <c r="E828" s="161" t="s">
        <v>35</v>
      </c>
      <c r="F828" s="135"/>
      <c r="G828" s="135"/>
      <c r="H828" s="135"/>
      <c r="I828" s="27">
        <v>2</v>
      </c>
      <c r="J828" s="27">
        <v>3</v>
      </c>
      <c r="K828" s="85">
        <v>42156</v>
      </c>
      <c r="L828" s="250"/>
      <c r="M828" s="253"/>
      <c r="U828" s="218">
        <v>57</v>
      </c>
      <c r="V828" s="19" t="s">
        <v>244</v>
      </c>
      <c r="W828" s="19" t="s">
        <v>209</v>
      </c>
      <c r="X828" s="240"/>
    </row>
    <row r="829" spans="1:24" ht="30" x14ac:dyDescent="0.25">
      <c r="A829" s="224" t="s">
        <v>5</v>
      </c>
      <c r="B829" s="160" t="s">
        <v>344</v>
      </c>
      <c r="C829" s="160" t="s">
        <v>127</v>
      </c>
      <c r="D829" s="160" t="s">
        <v>249</v>
      </c>
      <c r="E829" s="162" t="s">
        <v>36</v>
      </c>
      <c r="F829" s="135"/>
      <c r="G829" s="135"/>
      <c r="H829" s="135"/>
      <c r="I829" s="27">
        <v>2</v>
      </c>
      <c r="J829" s="27">
        <v>3</v>
      </c>
      <c r="K829" s="85">
        <v>42156</v>
      </c>
      <c r="L829" s="250"/>
      <c r="M829" s="253"/>
      <c r="U829" s="218">
        <v>58</v>
      </c>
      <c r="V829" s="19" t="s">
        <v>244</v>
      </c>
      <c r="W829" s="19" t="s">
        <v>209</v>
      </c>
      <c r="X829" s="240"/>
    </row>
    <row r="830" spans="1:24" ht="30" x14ac:dyDescent="0.25">
      <c r="A830" s="224" t="s">
        <v>5</v>
      </c>
      <c r="B830" s="160" t="s">
        <v>344</v>
      </c>
      <c r="C830" s="160" t="s">
        <v>127</v>
      </c>
      <c r="D830" s="160" t="s">
        <v>261</v>
      </c>
      <c r="E830" s="47" t="s">
        <v>37</v>
      </c>
      <c r="F830" s="135"/>
      <c r="G830" s="135"/>
      <c r="H830" s="135"/>
      <c r="I830" s="27">
        <v>2</v>
      </c>
      <c r="J830" s="27">
        <v>3</v>
      </c>
      <c r="K830" s="85">
        <v>42156</v>
      </c>
      <c r="L830" s="250"/>
      <c r="M830" s="253"/>
      <c r="U830" s="218">
        <v>59</v>
      </c>
      <c r="V830" s="19" t="s">
        <v>244</v>
      </c>
      <c r="W830" s="19" t="s">
        <v>209</v>
      </c>
      <c r="X830" s="240"/>
    </row>
    <row r="831" spans="1:24" ht="45.75" thickBot="1" x14ac:dyDescent="0.3">
      <c r="A831" s="225" t="s">
        <v>5</v>
      </c>
      <c r="B831" s="163" t="s">
        <v>344</v>
      </c>
      <c r="C831" s="163" t="s">
        <v>127</v>
      </c>
      <c r="D831" s="163" t="s">
        <v>262</v>
      </c>
      <c r="E831" s="164" t="s">
        <v>38</v>
      </c>
      <c r="F831" s="136"/>
      <c r="G831" s="136"/>
      <c r="H831" s="136"/>
      <c r="I831" s="35">
        <v>2</v>
      </c>
      <c r="J831" s="35">
        <v>3</v>
      </c>
      <c r="K831" s="86">
        <v>42156</v>
      </c>
      <c r="L831" s="251"/>
      <c r="M831" s="254"/>
      <c r="U831" s="218">
        <v>60</v>
      </c>
      <c r="V831" s="19" t="s">
        <v>244</v>
      </c>
      <c r="W831" s="19" t="s">
        <v>209</v>
      </c>
      <c r="X831" s="240"/>
    </row>
    <row r="832" spans="1:24" ht="30.75" thickTop="1" x14ac:dyDescent="0.25">
      <c r="A832" s="226" t="s">
        <v>5</v>
      </c>
      <c r="B832" s="165" t="s">
        <v>344</v>
      </c>
      <c r="C832" s="165" t="s">
        <v>128</v>
      </c>
      <c r="D832" s="165" t="s">
        <v>347</v>
      </c>
      <c r="E832" s="166" t="s">
        <v>348</v>
      </c>
      <c r="F832" s="137"/>
      <c r="G832" s="137"/>
      <c r="H832" s="137"/>
      <c r="I832" s="36">
        <v>4</v>
      </c>
      <c r="J832" s="36">
        <v>4</v>
      </c>
      <c r="K832" s="203">
        <v>42156</v>
      </c>
      <c r="L832" s="249" t="str">
        <f t="shared" ref="L832" si="93">CONCATENATE("Level"," ",MIN(I832:I843))</f>
        <v>Level 1</v>
      </c>
      <c r="M832" s="252" t="str">
        <f t="shared" ref="M832" si="94">CONCATENATE("Level"," ",MIN(J832:J843))</f>
        <v>Level 2</v>
      </c>
      <c r="U832" s="218">
        <v>53</v>
      </c>
      <c r="V832" s="19" t="s">
        <v>244</v>
      </c>
      <c r="W832" s="19" t="s">
        <v>209</v>
      </c>
      <c r="X832" s="240"/>
    </row>
    <row r="833" spans="1:24" ht="60" x14ac:dyDescent="0.25">
      <c r="A833" s="228" t="s">
        <v>5</v>
      </c>
      <c r="B833" s="199" t="s">
        <v>344</v>
      </c>
      <c r="C833" s="199" t="s">
        <v>128</v>
      </c>
      <c r="D833" s="199" t="s">
        <v>257</v>
      </c>
      <c r="E833" s="200" t="s">
        <v>348</v>
      </c>
      <c r="F833" s="216"/>
      <c r="G833" s="216"/>
      <c r="H833" s="216"/>
      <c r="I833" s="217">
        <v>1</v>
      </c>
      <c r="J833" s="217">
        <v>2</v>
      </c>
      <c r="K833" s="88">
        <v>42156</v>
      </c>
      <c r="L833" s="250"/>
      <c r="M833" s="253"/>
      <c r="U833" s="218">
        <v>4</v>
      </c>
      <c r="V833" s="19" t="s">
        <v>244</v>
      </c>
      <c r="W833" s="19" t="s">
        <v>209</v>
      </c>
      <c r="X833" s="240"/>
    </row>
    <row r="834" spans="1:24" ht="45" x14ac:dyDescent="0.25">
      <c r="A834" s="228" t="s">
        <v>5</v>
      </c>
      <c r="B834" s="199" t="s">
        <v>344</v>
      </c>
      <c r="C834" s="199" t="s">
        <v>128</v>
      </c>
      <c r="D834" s="199" t="s">
        <v>266</v>
      </c>
      <c r="E834" s="200" t="s">
        <v>348</v>
      </c>
      <c r="F834" s="216"/>
      <c r="G834" s="216"/>
      <c r="H834" s="216"/>
      <c r="I834" s="217">
        <v>2</v>
      </c>
      <c r="J834" s="217">
        <v>3</v>
      </c>
      <c r="K834" s="88">
        <v>42156</v>
      </c>
      <c r="L834" s="250"/>
      <c r="M834" s="253"/>
      <c r="U834" s="218">
        <v>2</v>
      </c>
      <c r="V834" s="19" t="s">
        <v>244</v>
      </c>
      <c r="W834" s="19" t="s">
        <v>209</v>
      </c>
      <c r="X834" s="240"/>
    </row>
    <row r="835" spans="1:24" ht="30" x14ac:dyDescent="0.25">
      <c r="A835" s="228" t="s">
        <v>5</v>
      </c>
      <c r="B835" s="199" t="s">
        <v>344</v>
      </c>
      <c r="C835" s="199" t="s">
        <v>128</v>
      </c>
      <c r="D835" s="199" t="s">
        <v>273</v>
      </c>
      <c r="E835" s="200" t="s">
        <v>348</v>
      </c>
      <c r="F835" s="216"/>
      <c r="G835" s="216"/>
      <c r="H835" s="216"/>
      <c r="I835" s="217">
        <v>2</v>
      </c>
      <c r="J835" s="217">
        <v>2</v>
      </c>
      <c r="K835" s="88">
        <v>42156</v>
      </c>
      <c r="L835" s="250"/>
      <c r="M835" s="253"/>
      <c r="U835" s="218">
        <v>9</v>
      </c>
      <c r="V835" s="19" t="s">
        <v>244</v>
      </c>
      <c r="W835" s="19" t="s">
        <v>209</v>
      </c>
      <c r="X835" s="240"/>
    </row>
    <row r="836" spans="1:24" ht="75" x14ac:dyDescent="0.25">
      <c r="A836" s="228" t="s">
        <v>5</v>
      </c>
      <c r="B836" s="199" t="s">
        <v>344</v>
      </c>
      <c r="C836" s="199" t="s">
        <v>128</v>
      </c>
      <c r="D836" s="199" t="s">
        <v>252</v>
      </c>
      <c r="E836" s="200" t="s">
        <v>348</v>
      </c>
      <c r="F836" s="216"/>
      <c r="G836" s="216"/>
      <c r="H836" s="216"/>
      <c r="I836" s="217">
        <v>2</v>
      </c>
      <c r="J836" s="217">
        <v>3</v>
      </c>
      <c r="K836" s="88">
        <v>42156</v>
      </c>
      <c r="L836" s="250"/>
      <c r="M836" s="253"/>
      <c r="U836" s="218">
        <v>3</v>
      </c>
      <c r="V836" s="19" t="s">
        <v>244</v>
      </c>
      <c r="W836" s="19" t="s">
        <v>209</v>
      </c>
      <c r="X836" s="240"/>
    </row>
    <row r="837" spans="1:24" ht="30" x14ac:dyDescent="0.25">
      <c r="A837" s="228" t="s">
        <v>5</v>
      </c>
      <c r="B837" s="199" t="s">
        <v>344</v>
      </c>
      <c r="C837" s="199" t="s">
        <v>128</v>
      </c>
      <c r="D837" s="199" t="s">
        <v>259</v>
      </c>
      <c r="E837" s="200" t="s">
        <v>0</v>
      </c>
      <c r="F837" s="216"/>
      <c r="G837" s="216"/>
      <c r="H837" s="216"/>
      <c r="I837" s="217">
        <v>2</v>
      </c>
      <c r="J837" s="217">
        <v>2</v>
      </c>
      <c r="K837" s="88">
        <v>42156</v>
      </c>
      <c r="L837" s="250"/>
      <c r="M837" s="253"/>
      <c r="U837" s="218">
        <v>55</v>
      </c>
      <c r="V837" s="19" t="s">
        <v>244</v>
      </c>
      <c r="W837" s="19" t="s">
        <v>209</v>
      </c>
      <c r="X837" s="240"/>
    </row>
    <row r="838" spans="1:24" ht="45" x14ac:dyDescent="0.25">
      <c r="A838" s="227" t="s">
        <v>5</v>
      </c>
      <c r="B838" s="167" t="s">
        <v>344</v>
      </c>
      <c r="C838" s="167" t="s">
        <v>128</v>
      </c>
      <c r="D838" s="167" t="s">
        <v>247</v>
      </c>
      <c r="E838" s="50" t="s">
        <v>34</v>
      </c>
      <c r="F838" s="138"/>
      <c r="G838" s="138"/>
      <c r="H838" s="138"/>
      <c r="I838" s="7">
        <v>3</v>
      </c>
      <c r="J838" s="7">
        <v>3</v>
      </c>
      <c r="K838" s="88">
        <v>42156</v>
      </c>
      <c r="L838" s="250"/>
      <c r="M838" s="253"/>
      <c r="U838" s="218">
        <v>56</v>
      </c>
      <c r="V838" s="19" t="s">
        <v>244</v>
      </c>
      <c r="W838" s="19" t="s">
        <v>209</v>
      </c>
      <c r="X838" s="240"/>
    </row>
    <row r="839" spans="1:24" ht="45" x14ac:dyDescent="0.25">
      <c r="A839" s="227" t="s">
        <v>5</v>
      </c>
      <c r="B839" s="167" t="s">
        <v>344</v>
      </c>
      <c r="C839" s="167" t="s">
        <v>128</v>
      </c>
      <c r="D839" s="167" t="s">
        <v>248</v>
      </c>
      <c r="E839" s="50" t="s">
        <v>34</v>
      </c>
      <c r="F839" s="138"/>
      <c r="G839" s="138"/>
      <c r="H839" s="138"/>
      <c r="I839" s="7">
        <v>4</v>
      </c>
      <c r="J839" s="7">
        <v>4</v>
      </c>
      <c r="K839" s="88">
        <v>42156</v>
      </c>
      <c r="L839" s="250"/>
      <c r="M839" s="253"/>
      <c r="U839" s="218">
        <v>56</v>
      </c>
      <c r="V839" s="19" t="s">
        <v>244</v>
      </c>
      <c r="W839" s="19" t="s">
        <v>209</v>
      </c>
      <c r="X839" s="240"/>
    </row>
    <row r="840" spans="1:24" ht="45" x14ac:dyDescent="0.25">
      <c r="A840" s="227" t="s">
        <v>5</v>
      </c>
      <c r="B840" s="167" t="s">
        <v>344</v>
      </c>
      <c r="C840" s="167" t="s">
        <v>128</v>
      </c>
      <c r="D840" s="167" t="s">
        <v>260</v>
      </c>
      <c r="E840" s="168" t="s">
        <v>35</v>
      </c>
      <c r="F840" s="138"/>
      <c r="G840" s="138"/>
      <c r="H840" s="138"/>
      <c r="I840" s="7">
        <v>2</v>
      </c>
      <c r="J840" s="7">
        <v>3</v>
      </c>
      <c r="K840" s="88">
        <v>42156</v>
      </c>
      <c r="L840" s="250"/>
      <c r="M840" s="253"/>
      <c r="U840" s="218">
        <v>57</v>
      </c>
      <c r="V840" s="19" t="s">
        <v>244</v>
      </c>
      <c r="W840" s="19" t="s">
        <v>209</v>
      </c>
      <c r="X840" s="240"/>
    </row>
    <row r="841" spans="1:24" ht="30" x14ac:dyDescent="0.25">
      <c r="A841" s="227" t="s">
        <v>5</v>
      </c>
      <c r="B841" s="167" t="s">
        <v>344</v>
      </c>
      <c r="C841" s="167" t="s">
        <v>128</v>
      </c>
      <c r="D841" s="167" t="s">
        <v>249</v>
      </c>
      <c r="E841" s="169" t="s">
        <v>36</v>
      </c>
      <c r="F841" s="138"/>
      <c r="G841" s="138"/>
      <c r="H841" s="138"/>
      <c r="I841" s="7">
        <v>3</v>
      </c>
      <c r="J841" s="7">
        <v>4</v>
      </c>
      <c r="K841" s="88">
        <v>42156</v>
      </c>
      <c r="L841" s="250"/>
      <c r="M841" s="253"/>
      <c r="U841" s="218">
        <v>58</v>
      </c>
      <c r="V841" s="19" t="s">
        <v>244</v>
      </c>
      <c r="W841" s="19" t="s">
        <v>209</v>
      </c>
      <c r="X841" s="240"/>
    </row>
    <row r="842" spans="1:24" ht="30" x14ac:dyDescent="0.25">
      <c r="A842" s="227" t="s">
        <v>5</v>
      </c>
      <c r="B842" s="167" t="s">
        <v>344</v>
      </c>
      <c r="C842" s="167" t="s">
        <v>128</v>
      </c>
      <c r="D842" s="167" t="s">
        <v>261</v>
      </c>
      <c r="E842" s="50" t="s">
        <v>37</v>
      </c>
      <c r="F842" s="138"/>
      <c r="G842" s="138"/>
      <c r="H842" s="138"/>
      <c r="I842" s="7">
        <v>3</v>
      </c>
      <c r="J842" s="7">
        <v>4</v>
      </c>
      <c r="K842" s="88">
        <v>42156</v>
      </c>
      <c r="L842" s="250"/>
      <c r="M842" s="253"/>
      <c r="U842" s="218">
        <v>59</v>
      </c>
      <c r="V842" s="19" t="s">
        <v>244</v>
      </c>
      <c r="W842" s="19" t="s">
        <v>209</v>
      </c>
      <c r="X842" s="240"/>
    </row>
    <row r="843" spans="1:24" ht="45.75" thickBot="1" x14ac:dyDescent="0.3">
      <c r="A843" s="229" t="s">
        <v>5</v>
      </c>
      <c r="B843" s="170" t="s">
        <v>344</v>
      </c>
      <c r="C843" s="170" t="s">
        <v>128</v>
      </c>
      <c r="D843" s="170" t="s">
        <v>262</v>
      </c>
      <c r="E843" s="171" t="s">
        <v>38</v>
      </c>
      <c r="F843" s="139"/>
      <c r="G843" s="139"/>
      <c r="H843" s="139"/>
      <c r="I843" s="37">
        <v>2</v>
      </c>
      <c r="J843" s="37">
        <v>3</v>
      </c>
      <c r="K843" s="89">
        <v>42156</v>
      </c>
      <c r="L843" s="251"/>
      <c r="M843" s="254"/>
      <c r="U843" s="218">
        <v>60</v>
      </c>
      <c r="V843" s="19" t="s">
        <v>244</v>
      </c>
      <c r="W843" s="19" t="s">
        <v>209</v>
      </c>
      <c r="X843" s="240"/>
    </row>
    <row r="844" spans="1:24" ht="30.75" thickTop="1" x14ac:dyDescent="0.25">
      <c r="A844" s="231" t="s">
        <v>5</v>
      </c>
      <c r="B844" s="158" t="s">
        <v>344</v>
      </c>
      <c r="C844" s="158" t="s">
        <v>132</v>
      </c>
      <c r="D844" s="158" t="s">
        <v>250</v>
      </c>
      <c r="E844" s="159" t="s">
        <v>348</v>
      </c>
      <c r="F844" s="134"/>
      <c r="G844" s="134"/>
      <c r="H844" s="134"/>
      <c r="I844" s="34">
        <v>2</v>
      </c>
      <c r="J844" s="34">
        <v>3</v>
      </c>
      <c r="K844" s="233">
        <v>42156</v>
      </c>
      <c r="L844" s="249" t="str">
        <f t="shared" ref="L844" si="95">CONCATENATE("Level"," ",MIN(I844:I856))</f>
        <v>Level 1</v>
      </c>
      <c r="M844" s="252" t="str">
        <f t="shared" ref="M844" si="96">CONCATENATE("Level"," ",MIN(J844:J856))</f>
        <v>Level 2</v>
      </c>
      <c r="U844" s="218">
        <v>1</v>
      </c>
      <c r="V844" s="19" t="s">
        <v>244</v>
      </c>
      <c r="W844" s="19" t="s">
        <v>209</v>
      </c>
      <c r="X844" s="240"/>
    </row>
    <row r="845" spans="1:24" ht="45" x14ac:dyDescent="0.25">
      <c r="A845" s="230" t="s">
        <v>5</v>
      </c>
      <c r="B845" s="190" t="s">
        <v>344</v>
      </c>
      <c r="C845" s="190" t="s">
        <v>132</v>
      </c>
      <c r="D845" s="190" t="s">
        <v>275</v>
      </c>
      <c r="E845" s="191" t="s">
        <v>348</v>
      </c>
      <c r="F845" s="212"/>
      <c r="G845" s="212"/>
      <c r="H845" s="212"/>
      <c r="I845" s="213">
        <v>1</v>
      </c>
      <c r="J845" s="213">
        <v>2</v>
      </c>
      <c r="K845" s="85">
        <v>42156</v>
      </c>
      <c r="L845" s="250"/>
      <c r="M845" s="253"/>
      <c r="U845" s="218">
        <v>16</v>
      </c>
      <c r="V845" s="19" t="s">
        <v>244</v>
      </c>
      <c r="W845" s="19" t="s">
        <v>209</v>
      </c>
      <c r="X845" s="240"/>
    </row>
    <row r="846" spans="1:24" ht="45" x14ac:dyDescent="0.25">
      <c r="A846" s="230" t="s">
        <v>5</v>
      </c>
      <c r="B846" s="190" t="s">
        <v>344</v>
      </c>
      <c r="C846" s="190" t="s">
        <v>132</v>
      </c>
      <c r="D846" s="190" t="s">
        <v>345</v>
      </c>
      <c r="E846" s="191" t="s">
        <v>348</v>
      </c>
      <c r="F846" s="212"/>
      <c r="G846" s="212"/>
      <c r="H846" s="212"/>
      <c r="I846" s="213">
        <v>3</v>
      </c>
      <c r="J846" s="213">
        <v>3</v>
      </c>
      <c r="K846" s="85">
        <v>42156</v>
      </c>
      <c r="L846" s="250"/>
      <c r="M846" s="253"/>
      <c r="U846" s="218">
        <v>54</v>
      </c>
      <c r="V846" s="19" t="s">
        <v>244</v>
      </c>
      <c r="W846" s="19" t="s">
        <v>209</v>
      </c>
      <c r="X846" s="240"/>
    </row>
    <row r="847" spans="1:24" ht="45" x14ac:dyDescent="0.25">
      <c r="A847" s="230" t="s">
        <v>5</v>
      </c>
      <c r="B847" s="190" t="s">
        <v>344</v>
      </c>
      <c r="C847" s="190" t="s">
        <v>132</v>
      </c>
      <c r="D847" s="190" t="s">
        <v>277</v>
      </c>
      <c r="E847" s="191" t="s">
        <v>348</v>
      </c>
      <c r="F847" s="212"/>
      <c r="G847" s="212"/>
      <c r="H847" s="212"/>
      <c r="I847" s="213">
        <v>2</v>
      </c>
      <c r="J847" s="213">
        <v>3</v>
      </c>
      <c r="K847" s="85">
        <v>42156</v>
      </c>
      <c r="L847" s="250"/>
      <c r="M847" s="253"/>
      <c r="U847" s="218">
        <v>18</v>
      </c>
      <c r="V847" s="19" t="s">
        <v>244</v>
      </c>
      <c r="W847" s="19" t="s">
        <v>209</v>
      </c>
      <c r="X847" s="240"/>
    </row>
    <row r="848" spans="1:24" ht="45" x14ac:dyDescent="0.25">
      <c r="A848" s="230" t="s">
        <v>5</v>
      </c>
      <c r="B848" s="190" t="s">
        <v>344</v>
      </c>
      <c r="C848" s="190" t="s">
        <v>132</v>
      </c>
      <c r="D848" s="190" t="s">
        <v>266</v>
      </c>
      <c r="E848" s="191" t="s">
        <v>348</v>
      </c>
      <c r="F848" s="212"/>
      <c r="G848" s="212"/>
      <c r="H848" s="212"/>
      <c r="I848" s="213">
        <v>2</v>
      </c>
      <c r="J848" s="213">
        <v>3</v>
      </c>
      <c r="K848" s="85">
        <v>42156</v>
      </c>
      <c r="L848" s="250"/>
      <c r="M848" s="253"/>
      <c r="U848" s="218">
        <v>2</v>
      </c>
      <c r="V848" s="19" t="s">
        <v>244</v>
      </c>
      <c r="W848" s="19" t="s">
        <v>209</v>
      </c>
      <c r="X848" s="240"/>
    </row>
    <row r="849" spans="1:24" ht="75" x14ac:dyDescent="0.25">
      <c r="A849" s="230" t="s">
        <v>5</v>
      </c>
      <c r="B849" s="190" t="s">
        <v>344</v>
      </c>
      <c r="C849" s="190" t="s">
        <v>132</v>
      </c>
      <c r="D849" s="190" t="s">
        <v>252</v>
      </c>
      <c r="E849" s="191" t="s">
        <v>348</v>
      </c>
      <c r="F849" s="212"/>
      <c r="G849" s="212"/>
      <c r="H849" s="212"/>
      <c r="I849" s="213">
        <v>3</v>
      </c>
      <c r="J849" s="213">
        <v>3</v>
      </c>
      <c r="K849" s="85">
        <v>42156</v>
      </c>
      <c r="L849" s="250"/>
      <c r="M849" s="253"/>
      <c r="U849" s="218">
        <v>3</v>
      </c>
      <c r="V849" s="19" t="s">
        <v>244</v>
      </c>
      <c r="W849" s="19" t="s">
        <v>209</v>
      </c>
      <c r="X849" s="240"/>
    </row>
    <row r="850" spans="1:24" ht="30" x14ac:dyDescent="0.25">
      <c r="A850" s="230" t="s">
        <v>5</v>
      </c>
      <c r="B850" s="190" t="s">
        <v>344</v>
      </c>
      <c r="C850" s="190" t="s">
        <v>132</v>
      </c>
      <c r="D850" s="190" t="s">
        <v>259</v>
      </c>
      <c r="E850" s="191" t="s">
        <v>0</v>
      </c>
      <c r="F850" s="212"/>
      <c r="G850" s="212"/>
      <c r="H850" s="212"/>
      <c r="I850" s="213">
        <v>2</v>
      </c>
      <c r="J850" s="213">
        <v>3</v>
      </c>
      <c r="K850" s="85">
        <v>42156</v>
      </c>
      <c r="L850" s="250"/>
      <c r="M850" s="253"/>
      <c r="U850" s="218">
        <v>55</v>
      </c>
      <c r="V850" s="19" t="s">
        <v>244</v>
      </c>
      <c r="W850" s="19" t="s">
        <v>209</v>
      </c>
      <c r="X850" s="240"/>
    </row>
    <row r="851" spans="1:24" ht="45" x14ac:dyDescent="0.25">
      <c r="A851" s="224" t="s">
        <v>5</v>
      </c>
      <c r="B851" s="160" t="s">
        <v>344</v>
      </c>
      <c r="C851" s="160" t="s">
        <v>132</v>
      </c>
      <c r="D851" s="160" t="s">
        <v>247</v>
      </c>
      <c r="E851" s="47" t="s">
        <v>34</v>
      </c>
      <c r="F851" s="135"/>
      <c r="G851" s="135"/>
      <c r="H851" s="135"/>
      <c r="I851" s="27">
        <v>2</v>
      </c>
      <c r="J851" s="27">
        <v>3</v>
      </c>
      <c r="K851" s="85">
        <v>42156</v>
      </c>
      <c r="L851" s="250"/>
      <c r="M851" s="253"/>
      <c r="U851" s="218">
        <v>56</v>
      </c>
      <c r="V851" s="19" t="s">
        <v>244</v>
      </c>
      <c r="W851" s="19" t="s">
        <v>209</v>
      </c>
      <c r="X851" s="240"/>
    </row>
    <row r="852" spans="1:24" ht="45" x14ac:dyDescent="0.25">
      <c r="A852" s="224" t="s">
        <v>5</v>
      </c>
      <c r="B852" s="160" t="s">
        <v>344</v>
      </c>
      <c r="C852" s="160" t="s">
        <v>132</v>
      </c>
      <c r="D852" s="160" t="s">
        <v>346</v>
      </c>
      <c r="E852" s="47" t="s">
        <v>34</v>
      </c>
      <c r="F852" s="135"/>
      <c r="G852" s="135"/>
      <c r="H852" s="135"/>
      <c r="I852" s="27">
        <v>1</v>
      </c>
      <c r="J852" s="27">
        <v>3</v>
      </c>
      <c r="K852" s="85">
        <v>42156</v>
      </c>
      <c r="L852" s="250"/>
      <c r="M852" s="253"/>
      <c r="U852" s="218">
        <v>56</v>
      </c>
      <c r="V852" s="19" t="s">
        <v>244</v>
      </c>
      <c r="W852" s="19" t="s">
        <v>209</v>
      </c>
      <c r="X852" s="240"/>
    </row>
    <row r="853" spans="1:24" ht="45" x14ac:dyDescent="0.25">
      <c r="A853" s="224" t="s">
        <v>5</v>
      </c>
      <c r="B853" s="160" t="s">
        <v>344</v>
      </c>
      <c r="C853" s="160" t="s">
        <v>132</v>
      </c>
      <c r="D853" s="160" t="s">
        <v>260</v>
      </c>
      <c r="E853" s="161" t="s">
        <v>35</v>
      </c>
      <c r="F853" s="135"/>
      <c r="G853" s="135"/>
      <c r="H853" s="135"/>
      <c r="I853" s="27">
        <v>1</v>
      </c>
      <c r="J853" s="27">
        <v>3</v>
      </c>
      <c r="K853" s="85">
        <v>42156</v>
      </c>
      <c r="L853" s="250"/>
      <c r="M853" s="253"/>
      <c r="U853" s="218">
        <v>57</v>
      </c>
      <c r="V853" s="19" t="s">
        <v>244</v>
      </c>
      <c r="W853" s="19" t="s">
        <v>209</v>
      </c>
      <c r="X853" s="240"/>
    </row>
    <row r="854" spans="1:24" ht="30" x14ac:dyDescent="0.25">
      <c r="A854" s="224" t="s">
        <v>5</v>
      </c>
      <c r="B854" s="160" t="s">
        <v>344</v>
      </c>
      <c r="C854" s="160" t="s">
        <v>132</v>
      </c>
      <c r="D854" s="160" t="s">
        <v>249</v>
      </c>
      <c r="E854" s="162" t="s">
        <v>36</v>
      </c>
      <c r="F854" s="135"/>
      <c r="G854" s="135"/>
      <c r="H854" s="135"/>
      <c r="I854" s="27">
        <v>1</v>
      </c>
      <c r="J854" s="27">
        <v>3</v>
      </c>
      <c r="K854" s="85">
        <v>42156</v>
      </c>
      <c r="L854" s="250"/>
      <c r="M854" s="253"/>
      <c r="U854" s="218">
        <v>58</v>
      </c>
      <c r="V854" s="19" t="s">
        <v>244</v>
      </c>
      <c r="W854" s="19" t="s">
        <v>209</v>
      </c>
      <c r="X854" s="240"/>
    </row>
    <row r="855" spans="1:24" ht="30" x14ac:dyDescent="0.25">
      <c r="A855" s="224" t="s">
        <v>5</v>
      </c>
      <c r="B855" s="160" t="s">
        <v>344</v>
      </c>
      <c r="C855" s="160" t="s">
        <v>132</v>
      </c>
      <c r="D855" s="160" t="s">
        <v>261</v>
      </c>
      <c r="E855" s="47" t="s">
        <v>37</v>
      </c>
      <c r="F855" s="135"/>
      <c r="G855" s="135"/>
      <c r="H855" s="135"/>
      <c r="I855" s="27">
        <v>2</v>
      </c>
      <c r="J855" s="27">
        <v>3</v>
      </c>
      <c r="K855" s="85">
        <v>42156</v>
      </c>
      <c r="L855" s="250"/>
      <c r="M855" s="253"/>
      <c r="U855" s="218">
        <v>59</v>
      </c>
      <c r="V855" s="19" t="s">
        <v>244</v>
      </c>
      <c r="W855" s="19" t="s">
        <v>209</v>
      </c>
      <c r="X855" s="240"/>
    </row>
    <row r="856" spans="1:24" ht="45.75" thickBot="1" x14ac:dyDescent="0.3">
      <c r="A856" s="225" t="s">
        <v>5</v>
      </c>
      <c r="B856" s="163" t="s">
        <v>344</v>
      </c>
      <c r="C856" s="163" t="s">
        <v>132</v>
      </c>
      <c r="D856" s="163" t="s">
        <v>262</v>
      </c>
      <c r="E856" s="164" t="s">
        <v>38</v>
      </c>
      <c r="F856" s="136"/>
      <c r="G856" s="136"/>
      <c r="H856" s="136"/>
      <c r="I856" s="35">
        <v>2</v>
      </c>
      <c r="J856" s="35">
        <v>3</v>
      </c>
      <c r="K856" s="86">
        <v>42156</v>
      </c>
      <c r="L856" s="251"/>
      <c r="M856" s="254"/>
      <c r="U856" s="218">
        <v>60</v>
      </c>
      <c r="V856" s="19" t="s">
        <v>244</v>
      </c>
      <c r="W856" s="19" t="s">
        <v>209</v>
      </c>
      <c r="X856" s="240"/>
    </row>
    <row r="857" spans="1:24" ht="45.75" thickTop="1" x14ac:dyDescent="0.25">
      <c r="A857" s="226" t="s">
        <v>5</v>
      </c>
      <c r="B857" s="165" t="s">
        <v>342</v>
      </c>
      <c r="C857" s="165" t="s">
        <v>207</v>
      </c>
      <c r="D857" s="165" t="s">
        <v>250</v>
      </c>
      <c r="E857" s="166" t="s">
        <v>348</v>
      </c>
      <c r="F857" s="137"/>
      <c r="G857" s="137"/>
      <c r="H857" s="137"/>
      <c r="I857" s="36">
        <v>2</v>
      </c>
      <c r="J857" s="36">
        <v>3</v>
      </c>
      <c r="K857" s="203">
        <v>42156</v>
      </c>
      <c r="L857" s="249" t="str">
        <f t="shared" ref="L857" si="97">CONCATENATE("Level"," ",MIN(I857:I866))</f>
        <v>Level 2</v>
      </c>
      <c r="M857" s="252" t="str">
        <f t="shared" ref="M857" si="98">CONCATENATE("Level"," ",MIN(J857:J866))</f>
        <v>Level 3</v>
      </c>
      <c r="U857" s="218">
        <v>1</v>
      </c>
      <c r="V857" s="19" t="s">
        <v>244</v>
      </c>
      <c r="W857" s="19"/>
      <c r="X857" s="241"/>
    </row>
    <row r="858" spans="1:24" ht="45" x14ac:dyDescent="0.25">
      <c r="A858" s="228" t="s">
        <v>5</v>
      </c>
      <c r="B858" s="199" t="s">
        <v>342</v>
      </c>
      <c r="C858" s="199" t="s">
        <v>207</v>
      </c>
      <c r="D858" s="199" t="s">
        <v>266</v>
      </c>
      <c r="E858" s="200" t="s">
        <v>348</v>
      </c>
      <c r="F858" s="216"/>
      <c r="G858" s="216"/>
      <c r="H858" s="216"/>
      <c r="I858" s="217">
        <v>2</v>
      </c>
      <c r="J858" s="217">
        <v>3</v>
      </c>
      <c r="K858" s="88">
        <v>42156</v>
      </c>
      <c r="L858" s="250"/>
      <c r="M858" s="253"/>
      <c r="U858" s="218">
        <v>2</v>
      </c>
      <c r="V858" s="19" t="s">
        <v>244</v>
      </c>
      <c r="W858" s="19"/>
      <c r="X858" s="241"/>
    </row>
    <row r="859" spans="1:24" ht="75" x14ac:dyDescent="0.25">
      <c r="A859" s="228" t="s">
        <v>5</v>
      </c>
      <c r="B859" s="199" t="s">
        <v>342</v>
      </c>
      <c r="C859" s="199" t="s">
        <v>207</v>
      </c>
      <c r="D859" s="199" t="s">
        <v>252</v>
      </c>
      <c r="E859" s="200" t="s">
        <v>348</v>
      </c>
      <c r="F859" s="216"/>
      <c r="G859" s="216"/>
      <c r="H859" s="216"/>
      <c r="I859" s="217">
        <v>3</v>
      </c>
      <c r="J859" s="217">
        <v>3</v>
      </c>
      <c r="K859" s="88">
        <v>42156</v>
      </c>
      <c r="L859" s="250"/>
      <c r="M859" s="253"/>
      <c r="U859" s="218">
        <v>3</v>
      </c>
      <c r="V859" s="19" t="s">
        <v>244</v>
      </c>
      <c r="W859" s="19"/>
      <c r="X859" s="241"/>
    </row>
    <row r="860" spans="1:24" ht="45" x14ac:dyDescent="0.25">
      <c r="A860" s="228" t="s">
        <v>5</v>
      </c>
      <c r="B860" s="199" t="s">
        <v>342</v>
      </c>
      <c r="C860" s="199" t="s">
        <v>207</v>
      </c>
      <c r="D860" s="199" t="s">
        <v>263</v>
      </c>
      <c r="E860" s="200" t="s">
        <v>0</v>
      </c>
      <c r="F860" s="216"/>
      <c r="G860" s="216"/>
      <c r="H860" s="216"/>
      <c r="I860" s="217">
        <v>2</v>
      </c>
      <c r="J860" s="217">
        <v>3</v>
      </c>
      <c r="K860" s="88">
        <v>42156</v>
      </c>
      <c r="L860" s="250"/>
      <c r="M860" s="253"/>
      <c r="U860" s="218">
        <v>55</v>
      </c>
      <c r="V860" s="19" t="s">
        <v>244</v>
      </c>
      <c r="W860" s="19"/>
      <c r="X860" s="241"/>
    </row>
    <row r="861" spans="1:24" ht="45" x14ac:dyDescent="0.25">
      <c r="A861" s="227" t="s">
        <v>5</v>
      </c>
      <c r="B861" s="167" t="s">
        <v>342</v>
      </c>
      <c r="C861" s="167" t="s">
        <v>207</v>
      </c>
      <c r="D861" s="167" t="s">
        <v>247</v>
      </c>
      <c r="E861" s="50" t="s">
        <v>34</v>
      </c>
      <c r="F861" s="216"/>
      <c r="G861" s="216"/>
      <c r="H861" s="216"/>
      <c r="I861" s="217">
        <v>2</v>
      </c>
      <c r="J861" s="217">
        <v>3</v>
      </c>
      <c r="K861" s="88">
        <v>42156</v>
      </c>
      <c r="L861" s="250"/>
      <c r="M861" s="253"/>
      <c r="U861" s="218">
        <v>56</v>
      </c>
      <c r="V861" s="19" t="s">
        <v>244</v>
      </c>
      <c r="W861" s="19"/>
      <c r="X861" s="241"/>
    </row>
    <row r="862" spans="1:24" ht="45" x14ac:dyDescent="0.25">
      <c r="A862" s="227" t="s">
        <v>5</v>
      </c>
      <c r="B862" s="167" t="s">
        <v>342</v>
      </c>
      <c r="C862" s="167" t="s">
        <v>207</v>
      </c>
      <c r="D862" s="167" t="s">
        <v>248</v>
      </c>
      <c r="E862" s="50" t="s">
        <v>34</v>
      </c>
      <c r="F862" s="138"/>
      <c r="G862" s="138"/>
      <c r="H862" s="138"/>
      <c r="I862" s="7">
        <v>2</v>
      </c>
      <c r="J862" s="7">
        <v>3</v>
      </c>
      <c r="K862" s="88">
        <v>42156</v>
      </c>
      <c r="L862" s="250"/>
      <c r="M862" s="253"/>
      <c r="U862" s="218">
        <v>56</v>
      </c>
      <c r="V862" s="19" t="s">
        <v>244</v>
      </c>
      <c r="W862" s="19"/>
      <c r="X862" s="241"/>
    </row>
    <row r="863" spans="1:24" ht="45" x14ac:dyDescent="0.25">
      <c r="A863" s="227" t="s">
        <v>5</v>
      </c>
      <c r="B863" s="167" t="s">
        <v>342</v>
      </c>
      <c r="C863" s="167" t="s">
        <v>207</v>
      </c>
      <c r="D863" s="167" t="s">
        <v>260</v>
      </c>
      <c r="E863" s="168" t="s">
        <v>35</v>
      </c>
      <c r="F863" s="138"/>
      <c r="G863" s="138"/>
      <c r="H863" s="138"/>
      <c r="I863" s="7">
        <v>2</v>
      </c>
      <c r="J863" s="7">
        <v>3</v>
      </c>
      <c r="K863" s="88">
        <v>42156</v>
      </c>
      <c r="L863" s="250"/>
      <c r="M863" s="253"/>
      <c r="U863" s="218">
        <v>57</v>
      </c>
      <c r="V863" s="19" t="s">
        <v>244</v>
      </c>
      <c r="W863" s="19"/>
      <c r="X863" s="241"/>
    </row>
    <row r="864" spans="1:24" ht="45" x14ac:dyDescent="0.25">
      <c r="A864" s="227" t="s">
        <v>5</v>
      </c>
      <c r="B864" s="167" t="s">
        <v>342</v>
      </c>
      <c r="C864" s="167" t="s">
        <v>207</v>
      </c>
      <c r="D864" s="167" t="s">
        <v>249</v>
      </c>
      <c r="E864" s="169" t="s">
        <v>36</v>
      </c>
      <c r="F864" s="138"/>
      <c r="G864" s="138"/>
      <c r="H864" s="138"/>
      <c r="I864" s="7">
        <v>2</v>
      </c>
      <c r="J864" s="7">
        <v>3</v>
      </c>
      <c r="K864" s="88">
        <v>42156</v>
      </c>
      <c r="L864" s="250"/>
      <c r="M864" s="253"/>
      <c r="U864" s="218">
        <v>58</v>
      </c>
      <c r="V864" s="19" t="s">
        <v>244</v>
      </c>
      <c r="W864" s="19"/>
      <c r="X864" s="241"/>
    </row>
    <row r="865" spans="1:24" ht="45" x14ac:dyDescent="0.25">
      <c r="A865" s="227" t="s">
        <v>5</v>
      </c>
      <c r="B865" s="167" t="s">
        <v>342</v>
      </c>
      <c r="C865" s="167" t="s">
        <v>207</v>
      </c>
      <c r="D865" s="167" t="s">
        <v>261</v>
      </c>
      <c r="E865" s="50" t="s">
        <v>37</v>
      </c>
      <c r="F865" s="138"/>
      <c r="G865" s="138"/>
      <c r="H865" s="138"/>
      <c r="I865" s="7">
        <v>2</v>
      </c>
      <c r="J865" s="7">
        <v>3</v>
      </c>
      <c r="K865" s="88">
        <v>42156</v>
      </c>
      <c r="L865" s="250"/>
      <c r="M865" s="253"/>
      <c r="U865" s="218">
        <v>59</v>
      </c>
      <c r="V865" s="19" t="s">
        <v>244</v>
      </c>
      <c r="W865" s="19"/>
      <c r="X865" s="241"/>
    </row>
    <row r="866" spans="1:24" ht="45.75" thickBot="1" x14ac:dyDescent="0.3">
      <c r="A866" s="229" t="s">
        <v>5</v>
      </c>
      <c r="B866" s="170" t="s">
        <v>342</v>
      </c>
      <c r="C866" s="170" t="s">
        <v>207</v>
      </c>
      <c r="D866" s="170" t="s">
        <v>262</v>
      </c>
      <c r="E866" s="171" t="s">
        <v>38</v>
      </c>
      <c r="F866" s="139"/>
      <c r="G866" s="139"/>
      <c r="H866" s="139"/>
      <c r="I866" s="37">
        <v>2</v>
      </c>
      <c r="J866" s="37">
        <v>3</v>
      </c>
      <c r="K866" s="89">
        <v>42156</v>
      </c>
      <c r="L866" s="251"/>
      <c r="M866" s="254"/>
      <c r="U866" s="218">
        <v>60</v>
      </c>
      <c r="V866" s="19" t="s">
        <v>244</v>
      </c>
      <c r="W866" s="19"/>
      <c r="X866" s="241"/>
    </row>
    <row r="867" spans="1:24" ht="15.75" thickTop="1" x14ac:dyDescent="0.25">
      <c r="L867" s="274"/>
      <c r="M867" s="274"/>
    </row>
    <row r="868" spans="1:24" x14ac:dyDescent="0.25">
      <c r="L868" s="274"/>
      <c r="M868" s="274"/>
    </row>
    <row r="869" spans="1:24" x14ac:dyDescent="0.25">
      <c r="L869" s="274"/>
      <c r="M869" s="274"/>
    </row>
    <row r="870" spans="1:24" x14ac:dyDescent="0.25">
      <c r="L870" s="274"/>
      <c r="M870" s="274"/>
    </row>
    <row r="871" spans="1:24" x14ac:dyDescent="0.25">
      <c r="L871" s="274"/>
      <c r="M871" s="274"/>
    </row>
    <row r="872" spans="1:24" x14ac:dyDescent="0.25">
      <c r="L872" s="274"/>
      <c r="M872" s="274"/>
    </row>
    <row r="875" spans="1:24" x14ac:dyDescent="0.25">
      <c r="F875" s="40"/>
      <c r="G875" s="40"/>
      <c r="H875" s="40"/>
      <c r="I875" s="41"/>
      <c r="J875" s="41"/>
      <c r="K875" s="42"/>
    </row>
    <row r="876" spans="1:24" x14ac:dyDescent="0.25">
      <c r="F876" s="40"/>
      <c r="G876" s="40"/>
      <c r="H876" s="40"/>
      <c r="I876" s="41"/>
      <c r="J876" s="41"/>
      <c r="K876" s="42"/>
    </row>
    <row r="877" spans="1:24" x14ac:dyDescent="0.25">
      <c r="F877" s="40"/>
      <c r="G877" s="40"/>
      <c r="H877" s="40"/>
      <c r="I877" s="41"/>
      <c r="J877" s="41"/>
      <c r="K877" s="42"/>
    </row>
    <row r="878" spans="1:24" x14ac:dyDescent="0.25">
      <c r="F878" s="40"/>
      <c r="G878" s="40"/>
      <c r="H878" s="40"/>
      <c r="I878" s="41"/>
      <c r="J878" s="41"/>
      <c r="K878" s="42"/>
    </row>
    <row r="879" spans="1:24" x14ac:dyDescent="0.25">
      <c r="F879" s="40"/>
      <c r="G879" s="40"/>
      <c r="H879" s="40"/>
      <c r="I879" s="41"/>
      <c r="J879" s="41"/>
      <c r="K879" s="42"/>
    </row>
    <row r="880" spans="1:24" x14ac:dyDescent="0.25">
      <c r="F880" s="40"/>
      <c r="G880" s="40"/>
      <c r="H880" s="40"/>
      <c r="I880" s="41"/>
      <c r="J880" s="41"/>
      <c r="K880" s="42"/>
    </row>
    <row r="881" spans="6:11" x14ac:dyDescent="0.25">
      <c r="F881" s="40"/>
      <c r="G881" s="40"/>
      <c r="H881" s="40"/>
      <c r="I881" s="41"/>
      <c r="J881" s="41"/>
      <c r="K881" s="42"/>
    </row>
    <row r="882" spans="6:11" x14ac:dyDescent="0.25">
      <c r="F882" s="40"/>
      <c r="G882" s="40"/>
      <c r="H882" s="40"/>
      <c r="I882" s="41"/>
      <c r="J882" s="41"/>
      <c r="K882" s="42"/>
    </row>
    <row r="883" spans="6:11" x14ac:dyDescent="0.25">
      <c r="F883" s="40"/>
      <c r="G883" s="40"/>
      <c r="H883" s="40"/>
      <c r="I883" s="41"/>
      <c r="J883" s="41"/>
      <c r="K883" s="42"/>
    </row>
    <row r="884" spans="6:11" x14ac:dyDescent="0.25">
      <c r="F884" s="40"/>
      <c r="G884" s="40"/>
      <c r="H884" s="40"/>
      <c r="I884" s="41"/>
      <c r="J884" s="41"/>
      <c r="K884" s="42"/>
    </row>
    <row r="885" spans="6:11" x14ac:dyDescent="0.25">
      <c r="F885" s="40"/>
      <c r="G885" s="40"/>
      <c r="H885" s="40"/>
      <c r="I885" s="41"/>
      <c r="J885" s="41"/>
      <c r="K885" s="42"/>
    </row>
    <row r="886" spans="6:11" x14ac:dyDescent="0.25">
      <c r="F886" s="40"/>
      <c r="G886" s="40"/>
      <c r="H886" s="40"/>
      <c r="I886" s="41"/>
      <c r="J886" s="41"/>
      <c r="K886" s="42"/>
    </row>
    <row r="887" spans="6:11" x14ac:dyDescent="0.25">
      <c r="F887" s="40"/>
      <c r="G887" s="40"/>
      <c r="H887" s="40"/>
      <c r="I887" s="41"/>
      <c r="J887" s="41"/>
      <c r="K887" s="42"/>
    </row>
    <row r="888" spans="6:11" x14ac:dyDescent="0.25">
      <c r="F888" s="40"/>
      <c r="G888" s="40"/>
      <c r="H888" s="40"/>
      <c r="I888" s="41"/>
      <c r="J888" s="41"/>
      <c r="K888" s="42"/>
    </row>
    <row r="889" spans="6:11" x14ac:dyDescent="0.25">
      <c r="F889" s="40"/>
      <c r="G889" s="40"/>
      <c r="H889" s="40"/>
      <c r="I889" s="41"/>
      <c r="J889" s="41"/>
      <c r="K889" s="42"/>
    </row>
    <row r="890" spans="6:11" x14ac:dyDescent="0.25">
      <c r="F890" s="40"/>
      <c r="G890" s="40"/>
      <c r="H890" s="40"/>
      <c r="I890" s="41"/>
      <c r="J890" s="41"/>
      <c r="K890" s="42"/>
    </row>
    <row r="891" spans="6:11" x14ac:dyDescent="0.25">
      <c r="F891" s="40"/>
      <c r="G891" s="40"/>
      <c r="H891" s="40"/>
      <c r="I891" s="41"/>
      <c r="J891" s="41"/>
      <c r="K891" s="42"/>
    </row>
    <row r="892" spans="6:11" x14ac:dyDescent="0.25">
      <c r="F892" s="40"/>
      <c r="G892" s="40"/>
      <c r="H892" s="40"/>
      <c r="I892" s="41"/>
      <c r="J892" s="41"/>
      <c r="K892" s="42"/>
    </row>
    <row r="893" spans="6:11" x14ac:dyDescent="0.25">
      <c r="F893" s="40"/>
      <c r="G893" s="40"/>
      <c r="H893" s="40"/>
      <c r="I893" s="41"/>
      <c r="J893" s="41"/>
      <c r="K893" s="42"/>
    </row>
    <row r="894" spans="6:11" x14ac:dyDescent="0.25">
      <c r="F894" s="40"/>
      <c r="G894" s="40"/>
      <c r="H894" s="40"/>
      <c r="I894" s="41"/>
      <c r="J894" s="41"/>
      <c r="K894" s="42"/>
    </row>
    <row r="895" spans="6:11" x14ac:dyDescent="0.25">
      <c r="F895" s="40"/>
      <c r="G895" s="40"/>
      <c r="H895" s="40"/>
      <c r="I895" s="41"/>
      <c r="J895" s="41"/>
      <c r="K895" s="42"/>
    </row>
    <row r="896" spans="6:11" x14ac:dyDescent="0.25">
      <c r="F896" s="40"/>
      <c r="G896" s="40"/>
      <c r="H896" s="40"/>
      <c r="I896" s="41"/>
      <c r="J896" s="41"/>
      <c r="K896" s="42"/>
    </row>
    <row r="897" spans="6:11" x14ac:dyDescent="0.25">
      <c r="F897" s="40"/>
      <c r="G897" s="40"/>
      <c r="H897" s="40"/>
      <c r="I897" s="41"/>
      <c r="J897" s="41"/>
      <c r="K897" s="42"/>
    </row>
    <row r="898" spans="6:11" x14ac:dyDescent="0.25">
      <c r="F898" s="40"/>
      <c r="G898" s="40"/>
      <c r="H898" s="40"/>
      <c r="I898" s="41"/>
      <c r="J898" s="41"/>
      <c r="K898" s="42"/>
    </row>
    <row r="899" spans="6:11" x14ac:dyDescent="0.25">
      <c r="F899" s="40"/>
      <c r="G899" s="40"/>
      <c r="H899" s="40"/>
      <c r="I899" s="41"/>
      <c r="J899" s="41"/>
      <c r="K899" s="42"/>
    </row>
    <row r="900" spans="6:11" x14ac:dyDescent="0.25">
      <c r="F900" s="40"/>
      <c r="G900" s="40"/>
      <c r="H900" s="40"/>
      <c r="I900" s="41"/>
      <c r="J900" s="41"/>
      <c r="K900" s="42"/>
    </row>
    <row r="901" spans="6:11" x14ac:dyDescent="0.25">
      <c r="F901" s="40"/>
      <c r="G901" s="40"/>
      <c r="H901" s="40"/>
      <c r="I901" s="41"/>
      <c r="J901" s="41"/>
      <c r="K901" s="42"/>
    </row>
    <row r="902" spans="6:11" x14ac:dyDescent="0.25">
      <c r="F902" s="40"/>
      <c r="G902" s="40"/>
      <c r="H902" s="40"/>
      <c r="I902" s="41"/>
      <c r="J902" s="41"/>
      <c r="K902" s="42"/>
    </row>
  </sheetData>
  <sheetProtection password="CA81" sheet="1" objects="1" scenarios="1" formatCells="0" formatColumns="0" formatRows="0" insertHyperlinks="0" autoFilter="0"/>
  <autoFilter ref="A4:W866" xr:uid="{00000000-0009-0000-0000-000001000000}">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dataConsolidate/>
  <mergeCells count="172">
    <mergeCell ref="L767:L778"/>
    <mergeCell ref="M767:M778"/>
    <mergeCell ref="L779:L789"/>
    <mergeCell ref="M779:M789"/>
    <mergeCell ref="L857:L866"/>
    <mergeCell ref="M857:M866"/>
    <mergeCell ref="L733:L744"/>
    <mergeCell ref="M733:M744"/>
    <mergeCell ref="L867:L872"/>
    <mergeCell ref="M867:M872"/>
    <mergeCell ref="L821:L831"/>
    <mergeCell ref="M821:M831"/>
    <mergeCell ref="L832:L843"/>
    <mergeCell ref="M832:M843"/>
    <mergeCell ref="L844:L856"/>
    <mergeCell ref="M844:M856"/>
    <mergeCell ref="L810:L820"/>
    <mergeCell ref="M810:M820"/>
    <mergeCell ref="M745:M756"/>
    <mergeCell ref="L745:L756"/>
    <mergeCell ref="L790:L799"/>
    <mergeCell ref="M790:M799"/>
    <mergeCell ref="L800:L809"/>
    <mergeCell ref="M800:M809"/>
    <mergeCell ref="L555:L560"/>
    <mergeCell ref="M555:M560"/>
    <mergeCell ref="L561:L573"/>
    <mergeCell ref="M561:M573"/>
    <mergeCell ref="L586:L597"/>
    <mergeCell ref="M586:M597"/>
    <mergeCell ref="L654:L665"/>
    <mergeCell ref="M654:M665"/>
    <mergeCell ref="L666:L676"/>
    <mergeCell ref="M666:M676"/>
    <mergeCell ref="L634:L643"/>
    <mergeCell ref="M634:M643"/>
    <mergeCell ref="L644:L653"/>
    <mergeCell ref="M644:M653"/>
    <mergeCell ref="L688:L698"/>
    <mergeCell ref="M688:M698"/>
    <mergeCell ref="L757:L766"/>
    <mergeCell ref="M757:M766"/>
    <mergeCell ref="L537:L542"/>
    <mergeCell ref="M537:M542"/>
    <mergeCell ref="L543:L548"/>
    <mergeCell ref="M543:M548"/>
    <mergeCell ref="L549:L554"/>
    <mergeCell ref="M549:M554"/>
    <mergeCell ref="L574:L585"/>
    <mergeCell ref="M574:M585"/>
    <mergeCell ref="M619:M633"/>
    <mergeCell ref="L619:L633"/>
    <mergeCell ref="L699:L709"/>
    <mergeCell ref="M699:M709"/>
    <mergeCell ref="L721:L732"/>
    <mergeCell ref="M721:M732"/>
    <mergeCell ref="L598:L607"/>
    <mergeCell ref="M598:M607"/>
    <mergeCell ref="L608:L618"/>
    <mergeCell ref="M608:M618"/>
    <mergeCell ref="L677:L687"/>
    <mergeCell ref="M677:M687"/>
    <mergeCell ref="L507:L516"/>
    <mergeCell ref="M507:M516"/>
    <mergeCell ref="L517:L526"/>
    <mergeCell ref="M517:M526"/>
    <mergeCell ref="L527:L536"/>
    <mergeCell ref="M527:M536"/>
    <mergeCell ref="L476:L486"/>
    <mergeCell ref="M476:M486"/>
    <mergeCell ref="L487:L496"/>
    <mergeCell ref="M487:M496"/>
    <mergeCell ref="L497:L506"/>
    <mergeCell ref="M497:M506"/>
    <mergeCell ref="L443:L453"/>
    <mergeCell ref="M443:M453"/>
    <mergeCell ref="L454:L463"/>
    <mergeCell ref="M454:M463"/>
    <mergeCell ref="L464:L475"/>
    <mergeCell ref="M464:M475"/>
    <mergeCell ref="L413:L422"/>
    <mergeCell ref="M413:M422"/>
    <mergeCell ref="L423:L432"/>
    <mergeCell ref="M423:M432"/>
    <mergeCell ref="L433:L442"/>
    <mergeCell ref="M433:M442"/>
    <mergeCell ref="L381:L391"/>
    <mergeCell ref="M381:M391"/>
    <mergeCell ref="L392:L402"/>
    <mergeCell ref="M392:M402"/>
    <mergeCell ref="L403:L412"/>
    <mergeCell ref="M403:M412"/>
    <mergeCell ref="L359:L369"/>
    <mergeCell ref="M359:M369"/>
    <mergeCell ref="L370:L380"/>
    <mergeCell ref="M370:M380"/>
    <mergeCell ref="L313:L322"/>
    <mergeCell ref="M313:M322"/>
    <mergeCell ref="L323:L332"/>
    <mergeCell ref="M323:M332"/>
    <mergeCell ref="L333:L345"/>
    <mergeCell ref="M333:M345"/>
    <mergeCell ref="L346:L358"/>
    <mergeCell ref="M346:M358"/>
    <mergeCell ref="L276:L285"/>
    <mergeCell ref="M276:M285"/>
    <mergeCell ref="L286:L300"/>
    <mergeCell ref="M286:M300"/>
    <mergeCell ref="L301:L312"/>
    <mergeCell ref="M301:M312"/>
    <mergeCell ref="L246:L255"/>
    <mergeCell ref="M246:M255"/>
    <mergeCell ref="L256:L265"/>
    <mergeCell ref="M256:M265"/>
    <mergeCell ref="L266:L275"/>
    <mergeCell ref="M266:M275"/>
    <mergeCell ref="L209:L220"/>
    <mergeCell ref="M209:M220"/>
    <mergeCell ref="L221:L232"/>
    <mergeCell ref="M221:M232"/>
    <mergeCell ref="L233:L245"/>
    <mergeCell ref="M233:M245"/>
    <mergeCell ref="L173:L184"/>
    <mergeCell ref="M173:M184"/>
    <mergeCell ref="L185:L196"/>
    <mergeCell ref="M185:M196"/>
    <mergeCell ref="L197:L208"/>
    <mergeCell ref="M197:M208"/>
    <mergeCell ref="L139:L149"/>
    <mergeCell ref="M139:M149"/>
    <mergeCell ref="L150:L160"/>
    <mergeCell ref="M150:M160"/>
    <mergeCell ref="L161:L172"/>
    <mergeCell ref="M161:M172"/>
    <mergeCell ref="L36:L45"/>
    <mergeCell ref="M36:M45"/>
    <mergeCell ref="L46:L55"/>
    <mergeCell ref="M46:M55"/>
    <mergeCell ref="L86:L95"/>
    <mergeCell ref="M86:M95"/>
    <mergeCell ref="L96:L105"/>
    <mergeCell ref="M96:M105"/>
    <mergeCell ref="L128:L138"/>
    <mergeCell ref="M128:M138"/>
    <mergeCell ref="L106:L116"/>
    <mergeCell ref="M106:M116"/>
    <mergeCell ref="L117:L127"/>
    <mergeCell ref="M117:M127"/>
    <mergeCell ref="L710:L720"/>
    <mergeCell ref="M710:M720"/>
    <mergeCell ref="L15:L25"/>
    <mergeCell ref="M15:M25"/>
    <mergeCell ref="A1:K1"/>
    <mergeCell ref="L1:M3"/>
    <mergeCell ref="F3:G3"/>
    <mergeCell ref="I3:J3"/>
    <mergeCell ref="A3:A4"/>
    <mergeCell ref="C3:C4"/>
    <mergeCell ref="E3:E4"/>
    <mergeCell ref="H3:H4"/>
    <mergeCell ref="D3:D4"/>
    <mergeCell ref="B3:B4"/>
    <mergeCell ref="L5:L14"/>
    <mergeCell ref="M5:M14"/>
    <mergeCell ref="L56:L65"/>
    <mergeCell ref="M56:M65"/>
    <mergeCell ref="L66:L75"/>
    <mergeCell ref="M66:M75"/>
    <mergeCell ref="L76:L85"/>
    <mergeCell ref="M76:M85"/>
    <mergeCell ref="L26:L35"/>
    <mergeCell ref="M26:M35"/>
  </mergeCells>
  <dataValidations count="2">
    <dataValidation allowBlank="1" showInputMessage="1" showErrorMessage="1" sqref="J4" xr:uid="{00000000-0002-0000-0100-000000000000}"/>
    <dataValidation type="date" operator="greaterThan" allowBlank="1" showInputMessage="1" showErrorMessage="1" errorTitle="Date Format" error="mm/dd/yyyy" promptTitle="Date Format" prompt="mm/dd/yyyy" sqref="K5:K866" xr:uid="{00000000-0002-0000-0100-000001000000}">
      <formula1>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2000000}">
          <x14:formula1>
            <xm:f>Validation!$H$2:$H$7</xm:f>
          </x14:formula1>
          <xm:sqref>J2 I5:I866 J5:J1048576</xm:sqref>
        </x14:dataValidation>
        <x14:dataValidation type="list" allowBlank="1" showInputMessage="1" showErrorMessage="1" error="Select value from the dropdown!" prompt="Click dropdown arrow to change State ID." xr:uid="{00000000-0002-0000-0100-000003000000}">
          <x14:formula1>
            <xm:f>Validation!$G$2:$G$57</xm:f>
          </x14:formula1>
          <xm:sqref>F2</xm:sqref>
        </x14:dataValidation>
        <x14:dataValidation type="list" allowBlank="1" showInputMessage="1" showErrorMessage="1" error="Select value from the dropdown!" prompt="Click dropdown arrow to change Program Name." xr:uid="{00000000-0002-0000-0100-000004000000}">
          <x14:formula1>
            <xm:f>Validation!$J$2:$J$4</xm:f>
          </x14:formula1>
          <xm:sqref>B2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X595"/>
  <sheetViews>
    <sheetView showGridLines="0" zoomScale="90" zoomScaleNormal="90" workbookViewId="0">
      <pane ySplit="4" topLeftCell="A5" activePane="bottomLeft" state="frozen"/>
      <selection pane="bottomLeft" sqref="A1:F1"/>
    </sheetView>
  </sheetViews>
  <sheetFormatPr defaultRowHeight="15" x14ac:dyDescent="0.25"/>
  <cols>
    <col min="1" max="1" width="29.140625" customWidth="1"/>
    <col min="2" max="2" width="30.7109375" customWidth="1"/>
    <col min="3" max="3" width="64.42578125" customWidth="1"/>
    <col min="4" max="5" width="12.7109375" customWidth="1"/>
    <col min="6" max="6" width="16.140625" style="1" customWidth="1"/>
    <col min="7" max="8" width="8.7109375" customWidth="1"/>
    <col min="9" max="19" width="9.140625" style="40"/>
    <col min="20" max="20" width="9.140625" style="16" hidden="1" customWidth="1"/>
    <col min="21" max="21" width="9.7109375" style="16" hidden="1" customWidth="1"/>
    <col min="22" max="22" width="9.140625" style="16" hidden="1" customWidth="1"/>
    <col min="23" max="24" width="9.140625" style="16"/>
  </cols>
  <sheetData>
    <row r="1" spans="1:22" ht="54" customHeight="1" x14ac:dyDescent="0.25">
      <c r="A1" s="278" t="s">
        <v>228</v>
      </c>
      <c r="B1" s="279"/>
      <c r="C1" s="279"/>
      <c r="D1" s="279"/>
      <c r="E1" s="279"/>
      <c r="F1" s="280"/>
      <c r="G1" s="281" t="s">
        <v>225</v>
      </c>
      <c r="H1" s="282"/>
    </row>
    <row r="2" spans="1:22" ht="27.6" customHeight="1" x14ac:dyDescent="0.25">
      <c r="A2" s="9" t="s">
        <v>221</v>
      </c>
      <c r="B2" s="207" t="str">
        <f>'BA-Scorecard'!B2</f>
        <v>Enterprise</v>
      </c>
      <c r="C2" s="10" t="s">
        <v>231</v>
      </c>
      <c r="D2" s="208" t="str">
        <f>'BA-Scorecard'!F2</f>
        <v>OH</v>
      </c>
      <c r="E2" s="11"/>
      <c r="F2" s="12"/>
      <c r="G2" s="260"/>
      <c r="H2" s="283"/>
    </row>
    <row r="3" spans="1:22" ht="39" customHeight="1" x14ac:dyDescent="0.25">
      <c r="A3" s="270" t="s">
        <v>212</v>
      </c>
      <c r="B3" s="270" t="s">
        <v>43</v>
      </c>
      <c r="C3" s="270" t="s">
        <v>42</v>
      </c>
      <c r="D3" s="285" t="s">
        <v>230</v>
      </c>
      <c r="E3" s="286"/>
      <c r="F3" s="13" t="s">
        <v>217</v>
      </c>
      <c r="G3" s="262"/>
      <c r="H3" s="284"/>
    </row>
    <row r="4" spans="1:22" ht="27" customHeight="1" thickBot="1" x14ac:dyDescent="0.3">
      <c r="A4" s="271"/>
      <c r="B4" s="271"/>
      <c r="C4" s="271"/>
      <c r="D4" s="43" t="s">
        <v>213</v>
      </c>
      <c r="E4" s="43" t="s">
        <v>215</v>
      </c>
      <c r="F4" s="29" t="s">
        <v>218</v>
      </c>
      <c r="G4" s="52" t="s">
        <v>216</v>
      </c>
      <c r="H4" s="52" t="s">
        <v>215</v>
      </c>
    </row>
    <row r="5" spans="1:22" ht="30.75" thickTop="1" x14ac:dyDescent="0.25">
      <c r="A5" s="234" t="s">
        <v>135</v>
      </c>
      <c r="B5" s="149" t="s">
        <v>1</v>
      </c>
      <c r="C5" s="123"/>
      <c r="D5" s="73">
        <v>1</v>
      </c>
      <c r="E5" s="73">
        <v>2</v>
      </c>
      <c r="F5" s="85">
        <v>42156</v>
      </c>
      <c r="G5" s="275" t="str">
        <f>CONCATENATE("Level"," ",MIN(D5:D8))</f>
        <v>Level 1</v>
      </c>
      <c r="H5" s="252" t="str">
        <f>CONCATENATE("Level"," ",MIN(E5:E8))</f>
        <v>Level 2</v>
      </c>
      <c r="T5" s="19" t="s">
        <v>244</v>
      </c>
      <c r="U5" s="19" t="s">
        <v>209</v>
      </c>
      <c r="V5" s="19"/>
    </row>
    <row r="6" spans="1:22" ht="30" x14ac:dyDescent="0.25">
      <c r="A6" s="235" t="s">
        <v>135</v>
      </c>
      <c r="B6" s="150" t="s">
        <v>2</v>
      </c>
      <c r="C6" s="124"/>
      <c r="D6" s="68">
        <v>1</v>
      </c>
      <c r="E6" s="68">
        <v>2</v>
      </c>
      <c r="F6" s="85">
        <v>42156</v>
      </c>
      <c r="G6" s="276"/>
      <c r="H6" s="253"/>
      <c r="T6" s="19" t="s">
        <v>244</v>
      </c>
      <c r="U6" s="19" t="s">
        <v>209</v>
      </c>
      <c r="V6" s="19"/>
    </row>
    <row r="7" spans="1:22" ht="30" x14ac:dyDescent="0.25">
      <c r="A7" s="235" t="s">
        <v>135</v>
      </c>
      <c r="B7" s="150" t="s">
        <v>3</v>
      </c>
      <c r="C7" s="124"/>
      <c r="D7" s="68">
        <v>1</v>
      </c>
      <c r="E7" s="68">
        <v>2</v>
      </c>
      <c r="F7" s="85">
        <v>42156</v>
      </c>
      <c r="G7" s="276"/>
      <c r="H7" s="253"/>
      <c r="T7" s="19" t="s">
        <v>244</v>
      </c>
      <c r="U7" s="19" t="s">
        <v>209</v>
      </c>
      <c r="V7" s="19"/>
    </row>
    <row r="8" spans="1:22" ht="30.75" thickBot="1" x14ac:dyDescent="0.3">
      <c r="A8" s="236" t="s">
        <v>135</v>
      </c>
      <c r="B8" s="151" t="s">
        <v>4</v>
      </c>
      <c r="C8" s="125"/>
      <c r="D8" s="69">
        <v>2</v>
      </c>
      <c r="E8" s="69">
        <v>2</v>
      </c>
      <c r="F8" s="86">
        <v>42156</v>
      </c>
      <c r="G8" s="277"/>
      <c r="H8" s="254"/>
      <c r="T8" s="19" t="s">
        <v>244</v>
      </c>
      <c r="U8" s="19" t="s">
        <v>209</v>
      </c>
      <c r="V8" s="19"/>
    </row>
    <row r="9" spans="1:22" ht="15.75" thickTop="1" x14ac:dyDescent="0.25">
      <c r="A9" s="237" t="s">
        <v>136</v>
      </c>
      <c r="B9" s="152" t="s">
        <v>1</v>
      </c>
      <c r="C9" s="153"/>
      <c r="D9" s="70">
        <v>1</v>
      </c>
      <c r="E9" s="70">
        <v>3</v>
      </c>
      <c r="F9" s="243">
        <v>42156</v>
      </c>
      <c r="G9" s="249" t="str">
        <f>CONCATENATE("Level"," ",MIN(D9:D12))</f>
        <v>Level 1</v>
      </c>
      <c r="H9" s="252" t="str">
        <f>CONCATENATE("Level"," ",MIN(E9:E12))</f>
        <v>Level 2</v>
      </c>
      <c r="T9" s="19" t="s">
        <v>244</v>
      </c>
      <c r="U9" s="19" t="s">
        <v>209</v>
      </c>
      <c r="V9" s="19"/>
    </row>
    <row r="10" spans="1:22" x14ac:dyDescent="0.25">
      <c r="A10" s="238" t="s">
        <v>136</v>
      </c>
      <c r="B10" s="154" t="s">
        <v>2</v>
      </c>
      <c r="C10" s="155"/>
      <c r="D10" s="71">
        <v>1</v>
      </c>
      <c r="E10" s="71">
        <v>2</v>
      </c>
      <c r="F10" s="242">
        <v>42156</v>
      </c>
      <c r="G10" s="250"/>
      <c r="H10" s="253"/>
      <c r="T10" s="19" t="s">
        <v>244</v>
      </c>
      <c r="U10" s="19" t="s">
        <v>209</v>
      </c>
      <c r="V10" s="19"/>
    </row>
    <row r="11" spans="1:22" x14ac:dyDescent="0.25">
      <c r="A11" s="238" t="s">
        <v>136</v>
      </c>
      <c r="B11" s="154" t="s">
        <v>3</v>
      </c>
      <c r="C11" s="155"/>
      <c r="D11" s="71">
        <v>1</v>
      </c>
      <c r="E11" s="71">
        <v>3</v>
      </c>
      <c r="F11" s="242">
        <v>42156</v>
      </c>
      <c r="G11" s="250"/>
      <c r="H11" s="253"/>
      <c r="T11" s="19" t="s">
        <v>244</v>
      </c>
      <c r="U11" s="19" t="s">
        <v>209</v>
      </c>
      <c r="V11" s="19"/>
    </row>
    <row r="12" spans="1:22" ht="15.75" thickBot="1" x14ac:dyDescent="0.3">
      <c r="A12" s="239" t="s">
        <v>136</v>
      </c>
      <c r="B12" s="156" t="s">
        <v>4</v>
      </c>
      <c r="C12" s="157"/>
      <c r="D12" s="72">
        <v>2</v>
      </c>
      <c r="E12" s="72">
        <v>2</v>
      </c>
      <c r="F12" s="244">
        <v>42156</v>
      </c>
      <c r="G12" s="251"/>
      <c r="H12" s="254"/>
      <c r="T12" s="19" t="s">
        <v>244</v>
      </c>
      <c r="U12" s="19" t="s">
        <v>209</v>
      </c>
      <c r="V12" s="19"/>
    </row>
    <row r="13" spans="1:22" ht="15.75" thickTop="1" x14ac:dyDescent="0.25">
      <c r="A13" s="234" t="s">
        <v>137</v>
      </c>
      <c r="B13" s="149" t="s">
        <v>1</v>
      </c>
      <c r="C13" s="95"/>
      <c r="D13" s="73">
        <v>1</v>
      </c>
      <c r="E13" s="73">
        <v>2</v>
      </c>
      <c r="F13" s="233">
        <v>42156</v>
      </c>
      <c r="G13" s="249" t="str">
        <f>CONCATENATE("Level"," ",MIN(D13:D16))</f>
        <v>Level 1</v>
      </c>
      <c r="H13" s="252" t="str">
        <f>CONCATENATE("Level"," ",MIN(E13:E16))</f>
        <v>Level 2</v>
      </c>
      <c r="T13" s="19" t="s">
        <v>244</v>
      </c>
      <c r="U13" s="19"/>
      <c r="V13" s="19"/>
    </row>
    <row r="14" spans="1:22" x14ac:dyDescent="0.25">
      <c r="A14" s="235" t="s">
        <v>137</v>
      </c>
      <c r="B14" s="150" t="s">
        <v>2</v>
      </c>
      <c r="C14" s="97"/>
      <c r="D14" s="68">
        <v>1</v>
      </c>
      <c r="E14" s="68">
        <v>2</v>
      </c>
      <c r="F14" s="85">
        <v>42156</v>
      </c>
      <c r="G14" s="250"/>
      <c r="H14" s="253"/>
      <c r="T14" s="19" t="s">
        <v>244</v>
      </c>
      <c r="U14" s="19"/>
      <c r="V14" s="19"/>
    </row>
    <row r="15" spans="1:22" x14ac:dyDescent="0.25">
      <c r="A15" s="235" t="s">
        <v>137</v>
      </c>
      <c r="B15" s="150" t="s">
        <v>3</v>
      </c>
      <c r="C15" s="97"/>
      <c r="D15" s="68">
        <v>1</v>
      </c>
      <c r="E15" s="68">
        <v>2</v>
      </c>
      <c r="F15" s="85">
        <v>42156</v>
      </c>
      <c r="G15" s="250"/>
      <c r="H15" s="253"/>
      <c r="T15" s="19" t="s">
        <v>244</v>
      </c>
      <c r="U15" s="19"/>
      <c r="V15" s="19"/>
    </row>
    <row r="16" spans="1:22" ht="15.75" thickBot="1" x14ac:dyDescent="0.3">
      <c r="A16" s="236" t="s">
        <v>137</v>
      </c>
      <c r="B16" s="151" t="s">
        <v>4</v>
      </c>
      <c r="C16" s="99"/>
      <c r="D16" s="69">
        <v>2</v>
      </c>
      <c r="E16" s="69">
        <v>2</v>
      </c>
      <c r="F16" s="86">
        <v>42156</v>
      </c>
      <c r="G16" s="251"/>
      <c r="H16" s="254"/>
      <c r="T16" s="19" t="s">
        <v>244</v>
      </c>
      <c r="U16" s="19"/>
      <c r="V16" s="19"/>
    </row>
    <row r="17" spans="1:22" ht="30.75" thickTop="1" x14ac:dyDescent="0.25">
      <c r="A17" s="237" t="s">
        <v>138</v>
      </c>
      <c r="B17" s="152" t="s">
        <v>1</v>
      </c>
      <c r="C17" s="153"/>
      <c r="D17" s="70">
        <v>1</v>
      </c>
      <c r="E17" s="70">
        <v>3</v>
      </c>
      <c r="F17" s="243">
        <v>42156</v>
      </c>
      <c r="G17" s="249" t="str">
        <f>CONCATENATE("Level"," ",MIN(D17:D20))</f>
        <v>Level 1</v>
      </c>
      <c r="H17" s="252" t="str">
        <f>CONCATENATE("Level"," ",MIN(E17:E20))</f>
        <v>Level 3</v>
      </c>
      <c r="T17" s="19" t="s">
        <v>244</v>
      </c>
      <c r="U17" s="19" t="s">
        <v>209</v>
      </c>
      <c r="V17" s="19"/>
    </row>
    <row r="18" spans="1:22" ht="30" x14ac:dyDescent="0.25">
      <c r="A18" s="238" t="s">
        <v>138</v>
      </c>
      <c r="B18" s="154" t="s">
        <v>2</v>
      </c>
      <c r="C18" s="155"/>
      <c r="D18" s="71">
        <v>2</v>
      </c>
      <c r="E18" s="71">
        <v>3</v>
      </c>
      <c r="F18" s="242">
        <v>42156</v>
      </c>
      <c r="G18" s="250"/>
      <c r="H18" s="253"/>
      <c r="T18" s="19" t="s">
        <v>244</v>
      </c>
      <c r="U18" s="19" t="s">
        <v>209</v>
      </c>
      <c r="V18" s="19"/>
    </row>
    <row r="19" spans="1:22" ht="30" x14ac:dyDescent="0.25">
      <c r="A19" s="238" t="s">
        <v>138</v>
      </c>
      <c r="B19" s="154" t="s">
        <v>3</v>
      </c>
      <c r="C19" s="155"/>
      <c r="D19" s="71">
        <v>2</v>
      </c>
      <c r="E19" s="71">
        <v>3</v>
      </c>
      <c r="F19" s="242">
        <v>42156</v>
      </c>
      <c r="G19" s="250"/>
      <c r="H19" s="253"/>
      <c r="T19" s="19" t="s">
        <v>244</v>
      </c>
      <c r="U19" s="19" t="s">
        <v>209</v>
      </c>
      <c r="V19" s="19"/>
    </row>
    <row r="20" spans="1:22" ht="30.75" thickBot="1" x14ac:dyDescent="0.3">
      <c r="A20" s="239" t="s">
        <v>138</v>
      </c>
      <c r="B20" s="156" t="s">
        <v>4</v>
      </c>
      <c r="C20" s="157"/>
      <c r="D20" s="72">
        <v>2</v>
      </c>
      <c r="E20" s="72">
        <v>3</v>
      </c>
      <c r="F20" s="244">
        <v>42156</v>
      </c>
      <c r="G20" s="251"/>
      <c r="H20" s="254"/>
      <c r="T20" s="19" t="s">
        <v>244</v>
      </c>
      <c r="U20" s="19" t="s">
        <v>209</v>
      </c>
      <c r="V20" s="19"/>
    </row>
    <row r="21" spans="1:22" ht="15.75" thickTop="1" x14ac:dyDescent="0.25">
      <c r="A21" s="234" t="s">
        <v>139</v>
      </c>
      <c r="B21" s="149" t="s">
        <v>1</v>
      </c>
      <c r="C21" s="95"/>
      <c r="D21" s="73">
        <v>1</v>
      </c>
      <c r="E21" s="73">
        <v>2</v>
      </c>
      <c r="F21" s="233">
        <v>42156</v>
      </c>
      <c r="G21" s="249" t="str">
        <f>CONCATENATE("Level"," ",MIN(D21:D24))</f>
        <v>Level 1</v>
      </c>
      <c r="H21" s="252" t="str">
        <f>CONCATENATE("Level"," ",MIN(E21:E24))</f>
        <v>Level 2</v>
      </c>
      <c r="T21" s="19" t="s">
        <v>244</v>
      </c>
      <c r="U21" s="19" t="s">
        <v>209</v>
      </c>
      <c r="V21" s="19"/>
    </row>
    <row r="22" spans="1:22" x14ac:dyDescent="0.25">
      <c r="A22" s="235" t="s">
        <v>139</v>
      </c>
      <c r="B22" s="150" t="s">
        <v>2</v>
      </c>
      <c r="C22" s="97"/>
      <c r="D22" s="68">
        <v>2</v>
      </c>
      <c r="E22" s="68">
        <v>2</v>
      </c>
      <c r="F22" s="85">
        <v>42156</v>
      </c>
      <c r="G22" s="250"/>
      <c r="H22" s="253"/>
      <c r="T22" s="19" t="s">
        <v>244</v>
      </c>
      <c r="U22" s="19" t="s">
        <v>209</v>
      </c>
      <c r="V22" s="19"/>
    </row>
    <row r="23" spans="1:22" x14ac:dyDescent="0.25">
      <c r="A23" s="235" t="s">
        <v>139</v>
      </c>
      <c r="B23" s="150" t="s">
        <v>3</v>
      </c>
      <c r="C23" s="97"/>
      <c r="D23" s="68">
        <v>2</v>
      </c>
      <c r="E23" s="68">
        <v>2</v>
      </c>
      <c r="F23" s="85">
        <v>42156</v>
      </c>
      <c r="G23" s="250"/>
      <c r="H23" s="253"/>
      <c r="T23" s="19" t="s">
        <v>244</v>
      </c>
      <c r="U23" s="19" t="s">
        <v>209</v>
      </c>
      <c r="V23" s="19"/>
    </row>
    <row r="24" spans="1:22" ht="15.75" thickBot="1" x14ac:dyDescent="0.3">
      <c r="A24" s="236" t="s">
        <v>139</v>
      </c>
      <c r="B24" s="151" t="s">
        <v>4</v>
      </c>
      <c r="C24" s="99"/>
      <c r="D24" s="69">
        <v>2</v>
      </c>
      <c r="E24" s="69">
        <v>2</v>
      </c>
      <c r="F24" s="86">
        <v>42156</v>
      </c>
      <c r="G24" s="251"/>
      <c r="H24" s="254"/>
      <c r="T24" s="19" t="s">
        <v>244</v>
      </c>
      <c r="U24" s="19" t="s">
        <v>209</v>
      </c>
      <c r="V24" s="19"/>
    </row>
    <row r="25" spans="1:22" ht="15.75" thickTop="1" x14ac:dyDescent="0.25">
      <c r="A25" s="237" t="s">
        <v>140</v>
      </c>
      <c r="B25" s="152" t="s">
        <v>1</v>
      </c>
      <c r="C25" s="153"/>
      <c r="D25" s="70">
        <v>2</v>
      </c>
      <c r="E25" s="70">
        <v>3</v>
      </c>
      <c r="F25" s="243">
        <v>42156</v>
      </c>
      <c r="G25" s="249" t="str">
        <f>CONCATENATE("Level"," ",MIN(D25:D28))</f>
        <v>Level 2</v>
      </c>
      <c r="H25" s="252" t="str">
        <f>CONCATENATE("Level"," ",MIN(E25:E28))</f>
        <v>Level 3</v>
      </c>
      <c r="T25" s="19" t="s">
        <v>244</v>
      </c>
      <c r="U25" s="19" t="s">
        <v>209</v>
      </c>
      <c r="V25" s="19"/>
    </row>
    <row r="26" spans="1:22" x14ac:dyDescent="0.25">
      <c r="A26" s="238" t="s">
        <v>140</v>
      </c>
      <c r="B26" s="154" t="s">
        <v>2</v>
      </c>
      <c r="C26" s="155"/>
      <c r="D26" s="71">
        <v>2</v>
      </c>
      <c r="E26" s="71">
        <v>3</v>
      </c>
      <c r="F26" s="242">
        <v>42156</v>
      </c>
      <c r="G26" s="250"/>
      <c r="H26" s="253"/>
      <c r="T26" s="19" t="s">
        <v>244</v>
      </c>
      <c r="U26" s="19" t="s">
        <v>209</v>
      </c>
      <c r="V26" s="19"/>
    </row>
    <row r="27" spans="1:22" x14ac:dyDescent="0.25">
      <c r="A27" s="238" t="s">
        <v>140</v>
      </c>
      <c r="B27" s="154" t="s">
        <v>3</v>
      </c>
      <c r="C27" s="155"/>
      <c r="D27" s="71">
        <v>2</v>
      </c>
      <c r="E27" s="71">
        <v>3</v>
      </c>
      <c r="F27" s="242">
        <v>42156</v>
      </c>
      <c r="G27" s="250"/>
      <c r="H27" s="253"/>
      <c r="T27" s="19" t="s">
        <v>244</v>
      </c>
      <c r="U27" s="19" t="s">
        <v>209</v>
      </c>
      <c r="V27" s="19"/>
    </row>
    <row r="28" spans="1:22" ht="15.75" thickBot="1" x14ac:dyDescent="0.3">
      <c r="A28" s="239" t="s">
        <v>140</v>
      </c>
      <c r="B28" s="156" t="s">
        <v>4</v>
      </c>
      <c r="C28" s="157"/>
      <c r="D28" s="72">
        <v>2</v>
      </c>
      <c r="E28" s="72">
        <v>3</v>
      </c>
      <c r="F28" s="244">
        <v>42156</v>
      </c>
      <c r="G28" s="251"/>
      <c r="H28" s="254"/>
      <c r="T28" s="19" t="s">
        <v>244</v>
      </c>
      <c r="U28" s="19" t="s">
        <v>209</v>
      </c>
      <c r="V28" s="19"/>
    </row>
    <row r="29" spans="1:22" ht="15.75" thickTop="1" x14ac:dyDescent="0.25">
      <c r="A29" s="234" t="s">
        <v>141</v>
      </c>
      <c r="B29" s="149" t="s">
        <v>1</v>
      </c>
      <c r="C29" s="95"/>
      <c r="D29" s="73">
        <v>1</v>
      </c>
      <c r="E29" s="73">
        <v>2</v>
      </c>
      <c r="F29" s="233">
        <v>42156</v>
      </c>
      <c r="G29" s="249" t="str">
        <f>CONCATENATE("Level"," ",MIN(D29:D32))</f>
        <v>Level 1</v>
      </c>
      <c r="H29" s="252" t="str">
        <f>CONCATENATE("Level"," ",MIN(E29:E32))</f>
        <v>Level 2</v>
      </c>
      <c r="T29" s="19" t="s">
        <v>244</v>
      </c>
      <c r="U29" s="19"/>
      <c r="V29" s="19"/>
    </row>
    <row r="30" spans="1:22" x14ac:dyDescent="0.25">
      <c r="A30" s="235" t="s">
        <v>141</v>
      </c>
      <c r="B30" s="150" t="s">
        <v>2</v>
      </c>
      <c r="C30" s="97"/>
      <c r="D30" s="68">
        <v>2</v>
      </c>
      <c r="E30" s="68">
        <v>3</v>
      </c>
      <c r="F30" s="85">
        <v>42156</v>
      </c>
      <c r="G30" s="250"/>
      <c r="H30" s="253"/>
      <c r="T30" s="19" t="s">
        <v>244</v>
      </c>
      <c r="U30" s="19"/>
      <c r="V30" s="19"/>
    </row>
    <row r="31" spans="1:22" x14ac:dyDescent="0.25">
      <c r="A31" s="235" t="s">
        <v>141</v>
      </c>
      <c r="B31" s="150" t="s">
        <v>3</v>
      </c>
      <c r="C31" s="97"/>
      <c r="D31" s="68">
        <v>2</v>
      </c>
      <c r="E31" s="68">
        <v>3</v>
      </c>
      <c r="F31" s="85">
        <v>42156</v>
      </c>
      <c r="G31" s="250"/>
      <c r="H31" s="253"/>
      <c r="T31" s="19" t="s">
        <v>244</v>
      </c>
      <c r="U31" s="19"/>
      <c r="V31" s="19"/>
    </row>
    <row r="32" spans="1:22" ht="15.75" thickBot="1" x14ac:dyDescent="0.3">
      <c r="A32" s="236" t="s">
        <v>141</v>
      </c>
      <c r="B32" s="151" t="s">
        <v>4</v>
      </c>
      <c r="C32" s="99"/>
      <c r="D32" s="69">
        <v>2</v>
      </c>
      <c r="E32" s="69">
        <v>3</v>
      </c>
      <c r="F32" s="86">
        <v>42156</v>
      </c>
      <c r="G32" s="251"/>
      <c r="H32" s="254"/>
      <c r="T32" s="19" t="s">
        <v>244</v>
      </c>
      <c r="U32" s="19"/>
      <c r="V32" s="19"/>
    </row>
    <row r="33" spans="1:22" ht="15.75" thickTop="1" x14ac:dyDescent="0.25">
      <c r="A33" s="237" t="s">
        <v>142</v>
      </c>
      <c r="B33" s="152" t="s">
        <v>1</v>
      </c>
      <c r="C33" s="153"/>
      <c r="D33" s="70">
        <v>1</v>
      </c>
      <c r="E33" s="70">
        <v>2</v>
      </c>
      <c r="F33" s="243">
        <v>42156</v>
      </c>
      <c r="G33" s="249" t="str">
        <f>CONCATENATE("Level"," ",MIN(D33:D36))</f>
        <v>Level 1</v>
      </c>
      <c r="H33" s="252" t="str">
        <f>CONCATENATE("Level"," ",MIN(E33:E36))</f>
        <v>Level 2</v>
      </c>
      <c r="T33" s="19" t="s">
        <v>244</v>
      </c>
      <c r="U33" s="19" t="s">
        <v>209</v>
      </c>
      <c r="V33" s="19"/>
    </row>
    <row r="34" spans="1:22" x14ac:dyDescent="0.25">
      <c r="A34" s="238" t="s">
        <v>142</v>
      </c>
      <c r="B34" s="154" t="s">
        <v>2</v>
      </c>
      <c r="C34" s="155"/>
      <c r="D34" s="71">
        <v>2</v>
      </c>
      <c r="E34" s="71">
        <v>3</v>
      </c>
      <c r="F34" s="242">
        <v>42156</v>
      </c>
      <c r="G34" s="250"/>
      <c r="H34" s="253"/>
      <c r="T34" s="19" t="s">
        <v>244</v>
      </c>
      <c r="U34" s="19" t="s">
        <v>209</v>
      </c>
      <c r="V34" s="19"/>
    </row>
    <row r="35" spans="1:22" x14ac:dyDescent="0.25">
      <c r="A35" s="238" t="s">
        <v>142</v>
      </c>
      <c r="B35" s="154" t="s">
        <v>3</v>
      </c>
      <c r="C35" s="155"/>
      <c r="D35" s="71">
        <v>2</v>
      </c>
      <c r="E35" s="71">
        <v>3</v>
      </c>
      <c r="F35" s="242">
        <v>42156</v>
      </c>
      <c r="G35" s="250"/>
      <c r="H35" s="253"/>
      <c r="T35" s="19" t="s">
        <v>244</v>
      </c>
      <c r="U35" s="19" t="s">
        <v>209</v>
      </c>
      <c r="V35" s="19"/>
    </row>
    <row r="36" spans="1:22" ht="15.75" thickBot="1" x14ac:dyDescent="0.3">
      <c r="A36" s="239" t="s">
        <v>142</v>
      </c>
      <c r="B36" s="156" t="s">
        <v>4</v>
      </c>
      <c r="C36" s="157"/>
      <c r="D36" s="72">
        <v>2</v>
      </c>
      <c r="E36" s="72">
        <v>3</v>
      </c>
      <c r="F36" s="244">
        <v>42156</v>
      </c>
      <c r="G36" s="251"/>
      <c r="H36" s="254"/>
      <c r="T36" s="19" t="s">
        <v>244</v>
      </c>
      <c r="U36" s="19" t="s">
        <v>209</v>
      </c>
      <c r="V36" s="19"/>
    </row>
    <row r="37" spans="1:22" ht="15.75" thickTop="1" x14ac:dyDescent="0.25">
      <c r="A37" s="234" t="s">
        <v>143</v>
      </c>
      <c r="B37" s="149" t="s">
        <v>1</v>
      </c>
      <c r="C37" s="95"/>
      <c r="D37" s="73">
        <v>1</v>
      </c>
      <c r="E37" s="73">
        <v>2</v>
      </c>
      <c r="F37" s="233">
        <v>42156</v>
      </c>
      <c r="G37" s="249" t="str">
        <f>CONCATENATE("Level"," ",MIN(D37:D40))</f>
        <v>Level 1</v>
      </c>
      <c r="H37" s="252" t="str">
        <f>CONCATENATE("Level"," ",MIN(E37:E40))</f>
        <v>Level 2</v>
      </c>
      <c r="T37" s="19" t="s">
        <v>244</v>
      </c>
      <c r="U37" s="19" t="s">
        <v>209</v>
      </c>
      <c r="V37" s="19"/>
    </row>
    <row r="38" spans="1:22" x14ac:dyDescent="0.25">
      <c r="A38" s="235" t="s">
        <v>143</v>
      </c>
      <c r="B38" s="150" t="s">
        <v>2</v>
      </c>
      <c r="C38" s="97"/>
      <c r="D38" s="68">
        <v>2</v>
      </c>
      <c r="E38" s="68">
        <v>2</v>
      </c>
      <c r="F38" s="85">
        <v>42156</v>
      </c>
      <c r="G38" s="250"/>
      <c r="H38" s="253"/>
      <c r="T38" s="19" t="s">
        <v>244</v>
      </c>
      <c r="U38" s="19" t="s">
        <v>209</v>
      </c>
      <c r="V38" s="19"/>
    </row>
    <row r="39" spans="1:22" x14ac:dyDescent="0.25">
      <c r="A39" s="235" t="s">
        <v>143</v>
      </c>
      <c r="B39" s="150" t="s">
        <v>3</v>
      </c>
      <c r="C39" s="97"/>
      <c r="D39" s="68">
        <v>2</v>
      </c>
      <c r="E39" s="68">
        <v>2</v>
      </c>
      <c r="F39" s="85">
        <v>42156</v>
      </c>
      <c r="G39" s="250"/>
      <c r="H39" s="253"/>
      <c r="T39" s="19" t="s">
        <v>244</v>
      </c>
      <c r="U39" s="19" t="s">
        <v>209</v>
      </c>
      <c r="V39" s="19"/>
    </row>
    <row r="40" spans="1:22" ht="15.75" thickBot="1" x14ac:dyDescent="0.3">
      <c r="A40" s="236" t="s">
        <v>143</v>
      </c>
      <c r="B40" s="151" t="s">
        <v>4</v>
      </c>
      <c r="C40" s="99"/>
      <c r="D40" s="69">
        <v>2</v>
      </c>
      <c r="E40" s="69">
        <v>2</v>
      </c>
      <c r="F40" s="86">
        <v>42156</v>
      </c>
      <c r="G40" s="251"/>
      <c r="H40" s="254"/>
      <c r="T40" s="19" t="s">
        <v>244</v>
      </c>
      <c r="U40" s="19" t="s">
        <v>209</v>
      </c>
      <c r="V40" s="19"/>
    </row>
    <row r="41" spans="1:22" ht="15.75" thickTop="1" x14ac:dyDescent="0.25">
      <c r="A41" s="237" t="s">
        <v>5</v>
      </c>
      <c r="B41" s="152" t="s">
        <v>1</v>
      </c>
      <c r="C41" s="153"/>
      <c r="D41" s="70">
        <v>1</v>
      </c>
      <c r="E41" s="70">
        <v>3</v>
      </c>
      <c r="F41" s="243">
        <v>42156</v>
      </c>
      <c r="G41" s="249" t="str">
        <f>CONCATENATE("Level"," ",MIN(D41:D44))</f>
        <v>Level 1</v>
      </c>
      <c r="H41" s="252" t="str">
        <f>CONCATENATE("Level"," ",MIN(E41:E44))</f>
        <v>Level 2</v>
      </c>
      <c r="T41" s="19" t="s">
        <v>244</v>
      </c>
      <c r="U41" s="19" t="s">
        <v>209</v>
      </c>
      <c r="V41" s="19"/>
    </row>
    <row r="42" spans="1:22" x14ac:dyDescent="0.25">
      <c r="A42" s="238" t="s">
        <v>5</v>
      </c>
      <c r="B42" s="154" t="s">
        <v>2</v>
      </c>
      <c r="C42" s="155"/>
      <c r="D42" s="71">
        <v>2</v>
      </c>
      <c r="E42" s="71">
        <v>2</v>
      </c>
      <c r="F42" s="242">
        <v>42156</v>
      </c>
      <c r="G42" s="250"/>
      <c r="H42" s="253"/>
      <c r="T42" s="19" t="s">
        <v>244</v>
      </c>
      <c r="U42" s="19" t="s">
        <v>209</v>
      </c>
      <c r="V42" s="19"/>
    </row>
    <row r="43" spans="1:22" x14ac:dyDescent="0.25">
      <c r="A43" s="238" t="s">
        <v>5</v>
      </c>
      <c r="B43" s="154" t="s">
        <v>3</v>
      </c>
      <c r="C43" s="155"/>
      <c r="D43" s="71">
        <v>2</v>
      </c>
      <c r="E43" s="71">
        <v>2</v>
      </c>
      <c r="F43" s="242">
        <v>42156</v>
      </c>
      <c r="G43" s="250"/>
      <c r="H43" s="253"/>
      <c r="T43" s="19" t="s">
        <v>244</v>
      </c>
      <c r="U43" s="19" t="s">
        <v>209</v>
      </c>
      <c r="V43" s="19"/>
    </row>
    <row r="44" spans="1:22" ht="15.75" thickBot="1" x14ac:dyDescent="0.3">
      <c r="A44" s="239" t="s">
        <v>5</v>
      </c>
      <c r="B44" s="156" t="s">
        <v>4</v>
      </c>
      <c r="C44" s="157"/>
      <c r="D44" s="72">
        <v>2</v>
      </c>
      <c r="E44" s="72">
        <v>2</v>
      </c>
      <c r="F44" s="244">
        <v>42156</v>
      </c>
      <c r="G44" s="251"/>
      <c r="H44" s="254"/>
      <c r="T44" s="19" t="s">
        <v>244</v>
      </c>
      <c r="U44" s="19" t="s">
        <v>209</v>
      </c>
      <c r="V44" s="19"/>
    </row>
    <row r="45" spans="1:22" ht="15.75" thickTop="1" x14ac:dyDescent="0.25">
      <c r="T45" s="22"/>
      <c r="U45" s="22"/>
    </row>
    <row r="46" spans="1:22" x14ac:dyDescent="0.25">
      <c r="T46" s="22"/>
      <c r="U46" s="23"/>
    </row>
    <row r="47" spans="1:22" x14ac:dyDescent="0.25">
      <c r="T47" s="22"/>
      <c r="U47" s="22"/>
    </row>
    <row r="48" spans="1:22" x14ac:dyDescent="0.25">
      <c r="T48" s="22"/>
      <c r="U48" s="22"/>
    </row>
    <row r="49" spans="20:22" x14ac:dyDescent="0.25">
      <c r="T49" s="22"/>
      <c r="U49" s="22"/>
    </row>
    <row r="50" spans="20:22" x14ac:dyDescent="0.25">
      <c r="T50" s="22"/>
      <c r="U50" s="22"/>
    </row>
    <row r="51" spans="20:22" x14ac:dyDescent="0.25">
      <c r="T51" s="22"/>
      <c r="U51" s="22"/>
    </row>
    <row r="52" spans="20:22" x14ac:dyDescent="0.25">
      <c r="T52" s="22"/>
      <c r="U52" s="23"/>
    </row>
    <row r="53" spans="20:22" x14ac:dyDescent="0.25">
      <c r="T53" s="22"/>
      <c r="U53" s="22"/>
    </row>
    <row r="54" spans="20:22" x14ac:dyDescent="0.25">
      <c r="T54" s="23"/>
      <c r="U54" s="23"/>
      <c r="V54" s="17"/>
    </row>
    <row r="55" spans="20:22" x14ac:dyDescent="0.25">
      <c r="T55" s="23"/>
      <c r="U55" s="23"/>
      <c r="V55" s="17"/>
    </row>
    <row r="56" spans="20:22" x14ac:dyDescent="0.25">
      <c r="T56" s="23"/>
      <c r="U56" s="23"/>
      <c r="V56" s="17"/>
    </row>
    <row r="57" spans="20:22" x14ac:dyDescent="0.25">
      <c r="T57" s="23"/>
      <c r="U57" s="23"/>
      <c r="V57" s="17"/>
    </row>
    <row r="58" spans="20:22" x14ac:dyDescent="0.25">
      <c r="T58" s="23"/>
      <c r="U58" s="23"/>
      <c r="V58" s="17"/>
    </row>
    <row r="59" spans="20:22" x14ac:dyDescent="0.25">
      <c r="T59" s="23"/>
      <c r="U59" s="23"/>
      <c r="V59" s="17"/>
    </row>
    <row r="60" spans="20:22" x14ac:dyDescent="0.25">
      <c r="T60" s="23"/>
      <c r="U60" s="23"/>
      <c r="V60" s="17"/>
    </row>
    <row r="61" spans="20:22" x14ac:dyDescent="0.25">
      <c r="T61" s="22"/>
      <c r="U61" s="22"/>
    </row>
    <row r="62" spans="20:22" x14ac:dyDescent="0.25">
      <c r="T62" s="22"/>
      <c r="U62" s="22"/>
    </row>
    <row r="63" spans="20:22" x14ac:dyDescent="0.25">
      <c r="T63" s="22"/>
      <c r="U63" s="22"/>
    </row>
    <row r="64" spans="20:22" x14ac:dyDescent="0.25">
      <c r="T64" s="22"/>
      <c r="U64" s="22"/>
    </row>
    <row r="65" spans="20:21" x14ac:dyDescent="0.25">
      <c r="T65" s="22"/>
      <c r="U65" s="22"/>
    </row>
    <row r="66" spans="20:21" x14ac:dyDescent="0.25">
      <c r="T66" s="22"/>
      <c r="U66" s="22"/>
    </row>
    <row r="67" spans="20:21" x14ac:dyDescent="0.25">
      <c r="T67" s="22"/>
      <c r="U67" s="23"/>
    </row>
    <row r="68" spans="20:21" x14ac:dyDescent="0.25">
      <c r="T68" s="22"/>
      <c r="U68" s="22"/>
    </row>
    <row r="69" spans="20:21" x14ac:dyDescent="0.25">
      <c r="T69" s="22"/>
      <c r="U69" s="22"/>
    </row>
    <row r="70" spans="20:21" x14ac:dyDescent="0.25">
      <c r="T70" s="22"/>
      <c r="U70" s="22"/>
    </row>
    <row r="71" spans="20:21" x14ac:dyDescent="0.25">
      <c r="T71" s="22"/>
      <c r="U71" s="22"/>
    </row>
    <row r="72" spans="20:21" x14ac:dyDescent="0.25">
      <c r="T72" s="22"/>
      <c r="U72" s="22"/>
    </row>
    <row r="73" spans="20:21" x14ac:dyDescent="0.25">
      <c r="T73" s="22"/>
      <c r="U73" s="22"/>
    </row>
    <row r="74" spans="20:21" x14ac:dyDescent="0.25">
      <c r="T74" s="22"/>
      <c r="U74" s="23"/>
    </row>
    <row r="75" spans="20:21" x14ac:dyDescent="0.25">
      <c r="T75" s="22"/>
      <c r="U75" s="22"/>
    </row>
    <row r="76" spans="20:21" x14ac:dyDescent="0.25">
      <c r="T76" s="22"/>
      <c r="U76" s="22"/>
    </row>
    <row r="77" spans="20:21" x14ac:dyDescent="0.25">
      <c r="T77" s="22"/>
      <c r="U77" s="22"/>
    </row>
    <row r="78" spans="20:21" x14ac:dyDescent="0.25">
      <c r="T78" s="22"/>
      <c r="U78" s="22"/>
    </row>
    <row r="79" spans="20:21" x14ac:dyDescent="0.25">
      <c r="T79" s="22"/>
      <c r="U79" s="22"/>
    </row>
    <row r="80" spans="20:21" x14ac:dyDescent="0.25">
      <c r="T80" s="22"/>
      <c r="U80" s="23"/>
    </row>
    <row r="81" spans="20:21" x14ac:dyDescent="0.25">
      <c r="T81" s="22"/>
      <c r="U81" s="23"/>
    </row>
    <row r="82" spans="20:21" x14ac:dyDescent="0.25">
      <c r="T82" s="22"/>
      <c r="U82" s="23"/>
    </row>
    <row r="83" spans="20:21" x14ac:dyDescent="0.25">
      <c r="T83" s="22"/>
      <c r="U83" s="23"/>
    </row>
    <row r="84" spans="20:21" x14ac:dyDescent="0.25">
      <c r="T84" s="22"/>
      <c r="U84" s="22"/>
    </row>
    <row r="85" spans="20:21" x14ac:dyDescent="0.25">
      <c r="T85" s="22"/>
      <c r="U85" s="22"/>
    </row>
    <row r="86" spans="20:21" x14ac:dyDescent="0.25">
      <c r="T86" s="22"/>
      <c r="U86" s="22"/>
    </row>
    <row r="87" spans="20:21" x14ac:dyDescent="0.25">
      <c r="T87" s="22"/>
      <c r="U87" s="22"/>
    </row>
    <row r="88" spans="20:21" x14ac:dyDescent="0.25">
      <c r="T88" s="22"/>
      <c r="U88" s="22"/>
    </row>
    <row r="89" spans="20:21" x14ac:dyDescent="0.25">
      <c r="T89" s="22"/>
      <c r="U89" s="22"/>
    </row>
    <row r="90" spans="20:21" x14ac:dyDescent="0.25">
      <c r="T90" s="22"/>
      <c r="U90" s="22"/>
    </row>
    <row r="91" spans="20:21" x14ac:dyDescent="0.25">
      <c r="T91" s="22"/>
      <c r="U91" s="22"/>
    </row>
    <row r="92" spans="20:21" x14ac:dyDescent="0.25">
      <c r="T92" s="22"/>
      <c r="U92" s="22"/>
    </row>
    <row r="93" spans="20:21" x14ac:dyDescent="0.25">
      <c r="T93" s="22"/>
      <c r="U93" s="22"/>
    </row>
    <row r="94" spans="20:21" x14ac:dyDescent="0.25">
      <c r="T94" s="22"/>
      <c r="U94" s="22"/>
    </row>
    <row r="95" spans="20:21" x14ac:dyDescent="0.25">
      <c r="T95" s="22"/>
      <c r="U95" s="22"/>
    </row>
    <row r="96" spans="20:21" x14ac:dyDescent="0.25">
      <c r="T96" s="22"/>
      <c r="U96" s="22"/>
    </row>
    <row r="97" spans="20:21" x14ac:dyDescent="0.25">
      <c r="T97" s="22"/>
      <c r="U97" s="22"/>
    </row>
    <row r="98" spans="20:21" x14ac:dyDescent="0.25">
      <c r="T98" s="22"/>
      <c r="U98" s="22"/>
    </row>
    <row r="99" spans="20:21" x14ac:dyDescent="0.25">
      <c r="T99" s="22"/>
      <c r="U99" s="22"/>
    </row>
    <row r="100" spans="20:21" x14ac:dyDescent="0.25">
      <c r="T100" s="22"/>
      <c r="U100" s="22"/>
    </row>
    <row r="101" spans="20:21" x14ac:dyDescent="0.25">
      <c r="T101" s="22"/>
      <c r="U101" s="22"/>
    </row>
    <row r="102" spans="20:21" x14ac:dyDescent="0.25">
      <c r="T102" s="22"/>
      <c r="U102" s="22"/>
    </row>
    <row r="103" spans="20:21" x14ac:dyDescent="0.25">
      <c r="T103" s="22"/>
      <c r="U103" s="22"/>
    </row>
    <row r="104" spans="20:21" x14ac:dyDescent="0.25">
      <c r="T104" s="22"/>
      <c r="U104" s="22"/>
    </row>
    <row r="105" spans="20:21" x14ac:dyDescent="0.25">
      <c r="T105" s="22"/>
      <c r="U105" s="22"/>
    </row>
    <row r="106" spans="20:21" x14ac:dyDescent="0.25">
      <c r="T106" s="22"/>
      <c r="U106" s="22"/>
    </row>
    <row r="107" spans="20:21" x14ac:dyDescent="0.25">
      <c r="T107" s="22"/>
      <c r="U107" s="22"/>
    </row>
    <row r="108" spans="20:21" x14ac:dyDescent="0.25">
      <c r="T108" s="22"/>
      <c r="U108" s="22"/>
    </row>
    <row r="109" spans="20:21" x14ac:dyDescent="0.25">
      <c r="T109" s="22"/>
      <c r="U109" s="22"/>
    </row>
    <row r="110" spans="20:21" x14ac:dyDescent="0.25">
      <c r="T110" s="22"/>
      <c r="U110" s="22"/>
    </row>
    <row r="111" spans="20:21" x14ac:dyDescent="0.25">
      <c r="T111" s="22"/>
      <c r="U111" s="22"/>
    </row>
    <row r="112" spans="20:21" x14ac:dyDescent="0.25">
      <c r="T112" s="22"/>
      <c r="U112" s="22"/>
    </row>
    <row r="113" spans="20:21" x14ac:dyDescent="0.25">
      <c r="T113" s="22"/>
      <c r="U113" s="22"/>
    </row>
    <row r="114" spans="20:21" x14ac:dyDescent="0.25">
      <c r="T114" s="22"/>
      <c r="U114" s="22"/>
    </row>
    <row r="115" spans="20:21" x14ac:dyDescent="0.25">
      <c r="T115" s="22"/>
      <c r="U115" s="22"/>
    </row>
    <row r="116" spans="20:21" x14ac:dyDescent="0.25">
      <c r="T116" s="22"/>
      <c r="U116" s="22"/>
    </row>
    <row r="117" spans="20:21" x14ac:dyDescent="0.25">
      <c r="T117" s="22"/>
      <c r="U117" s="22"/>
    </row>
    <row r="118" spans="20:21" x14ac:dyDescent="0.25">
      <c r="T118" s="22"/>
      <c r="U118" s="22"/>
    </row>
    <row r="119" spans="20:21" x14ac:dyDescent="0.25">
      <c r="T119" s="22"/>
      <c r="U119" s="22"/>
    </row>
    <row r="120" spans="20:21" x14ac:dyDescent="0.25">
      <c r="T120" s="22"/>
      <c r="U120" s="22"/>
    </row>
    <row r="121" spans="20:21" x14ac:dyDescent="0.25">
      <c r="T121" s="22"/>
      <c r="U121" s="22"/>
    </row>
    <row r="122" spans="20:21" x14ac:dyDescent="0.25">
      <c r="T122" s="22"/>
      <c r="U122" s="22"/>
    </row>
    <row r="123" spans="20:21" x14ac:dyDescent="0.25">
      <c r="T123" s="22"/>
      <c r="U123" s="22"/>
    </row>
    <row r="124" spans="20:21" x14ac:dyDescent="0.25">
      <c r="T124" s="22"/>
      <c r="U124" s="22"/>
    </row>
    <row r="125" spans="20:21" x14ac:dyDescent="0.25">
      <c r="T125" s="22"/>
      <c r="U125" s="22"/>
    </row>
    <row r="126" spans="20:21" x14ac:dyDescent="0.25">
      <c r="T126" s="22"/>
      <c r="U126" s="22"/>
    </row>
    <row r="127" spans="20:21" x14ac:dyDescent="0.25">
      <c r="T127" s="22"/>
      <c r="U127" s="22"/>
    </row>
    <row r="128" spans="20:21" x14ac:dyDescent="0.25">
      <c r="T128" s="22"/>
      <c r="U128" s="22"/>
    </row>
    <row r="129" spans="20:21" x14ac:dyDescent="0.25">
      <c r="T129" s="22"/>
      <c r="U129" s="22"/>
    </row>
    <row r="130" spans="20:21" x14ac:dyDescent="0.25">
      <c r="T130" s="22"/>
      <c r="U130" s="22"/>
    </row>
    <row r="131" spans="20:21" x14ac:dyDescent="0.25">
      <c r="T131" s="22"/>
      <c r="U131" s="22"/>
    </row>
    <row r="132" spans="20:21" x14ac:dyDescent="0.25">
      <c r="T132" s="22"/>
      <c r="U132" s="22"/>
    </row>
    <row r="133" spans="20:21" x14ac:dyDescent="0.25">
      <c r="T133" s="22"/>
      <c r="U133" s="22"/>
    </row>
    <row r="134" spans="20:21" x14ac:dyDescent="0.25">
      <c r="T134" s="22"/>
      <c r="U134" s="22"/>
    </row>
    <row r="135" spans="20:21" x14ac:dyDescent="0.25">
      <c r="T135" s="22"/>
      <c r="U135" s="22"/>
    </row>
    <row r="136" spans="20:21" x14ac:dyDescent="0.25">
      <c r="T136" s="22"/>
      <c r="U136" s="22"/>
    </row>
    <row r="137" spans="20:21" x14ac:dyDescent="0.25">
      <c r="T137" s="22"/>
      <c r="U137" s="22"/>
    </row>
    <row r="138" spans="20:21" x14ac:dyDescent="0.25">
      <c r="T138" s="22"/>
      <c r="U138" s="22"/>
    </row>
    <row r="139" spans="20:21" x14ac:dyDescent="0.25">
      <c r="T139" s="22"/>
      <c r="U139" s="22"/>
    </row>
    <row r="140" spans="20:21" x14ac:dyDescent="0.25">
      <c r="T140" s="22"/>
      <c r="U140" s="22"/>
    </row>
    <row r="141" spans="20:21" x14ac:dyDescent="0.25">
      <c r="T141" s="22"/>
      <c r="U141" s="22"/>
    </row>
    <row r="142" spans="20:21" x14ac:dyDescent="0.25">
      <c r="T142" s="22"/>
      <c r="U142" s="22"/>
    </row>
    <row r="143" spans="20:21" x14ac:dyDescent="0.25">
      <c r="T143" s="22"/>
      <c r="U143" s="22"/>
    </row>
    <row r="144" spans="20:21" x14ac:dyDescent="0.25">
      <c r="T144" s="22"/>
      <c r="U144" s="22"/>
    </row>
    <row r="145" spans="20:21" x14ac:dyDescent="0.25">
      <c r="T145" s="22"/>
      <c r="U145" s="22"/>
    </row>
    <row r="146" spans="20:21" x14ac:dyDescent="0.25">
      <c r="T146" s="22"/>
      <c r="U146" s="22"/>
    </row>
    <row r="147" spans="20:21" x14ac:dyDescent="0.25">
      <c r="T147" s="22"/>
      <c r="U147" s="22"/>
    </row>
    <row r="148" spans="20:21" x14ac:dyDescent="0.25">
      <c r="T148" s="22"/>
      <c r="U148" s="22"/>
    </row>
    <row r="149" spans="20:21" x14ac:dyDescent="0.25">
      <c r="T149" s="22"/>
      <c r="U149" s="22"/>
    </row>
    <row r="150" spans="20:21" x14ac:dyDescent="0.25">
      <c r="T150" s="22"/>
      <c r="U150" s="22"/>
    </row>
    <row r="151" spans="20:21" x14ac:dyDescent="0.25">
      <c r="T151" s="22"/>
      <c r="U151" s="22"/>
    </row>
    <row r="152" spans="20:21" x14ac:dyDescent="0.25">
      <c r="T152" s="22"/>
      <c r="U152" s="22"/>
    </row>
    <row r="153" spans="20:21" x14ac:dyDescent="0.25">
      <c r="T153" s="22"/>
      <c r="U153" s="22"/>
    </row>
    <row r="154" spans="20:21" x14ac:dyDescent="0.25">
      <c r="T154" s="22"/>
      <c r="U154" s="22"/>
    </row>
    <row r="155" spans="20:21" x14ac:dyDescent="0.25">
      <c r="T155" s="22"/>
      <c r="U155" s="22"/>
    </row>
    <row r="156" spans="20:21" x14ac:dyDescent="0.25">
      <c r="T156" s="22"/>
      <c r="U156" s="22"/>
    </row>
    <row r="157" spans="20:21" x14ac:dyDescent="0.25">
      <c r="T157" s="22"/>
      <c r="U157" s="22"/>
    </row>
    <row r="158" spans="20:21" x14ac:dyDescent="0.25">
      <c r="T158" s="22"/>
      <c r="U158" s="22"/>
    </row>
    <row r="159" spans="20:21" x14ac:dyDescent="0.25">
      <c r="T159" s="22"/>
      <c r="U159" s="22"/>
    </row>
    <row r="160" spans="20:21" x14ac:dyDescent="0.25">
      <c r="T160" s="22"/>
      <c r="U160" s="22"/>
    </row>
    <row r="161" spans="20:21" x14ac:dyDescent="0.25">
      <c r="T161" s="22"/>
      <c r="U161" s="22"/>
    </row>
    <row r="162" spans="20:21" x14ac:dyDescent="0.25">
      <c r="T162" s="22"/>
      <c r="U162" s="22"/>
    </row>
    <row r="163" spans="20:21" x14ac:dyDescent="0.25">
      <c r="T163" s="22"/>
      <c r="U163" s="22"/>
    </row>
    <row r="164" spans="20:21" x14ac:dyDescent="0.25">
      <c r="T164" s="22"/>
      <c r="U164" s="22"/>
    </row>
    <row r="165" spans="20:21" x14ac:dyDescent="0.25">
      <c r="T165" s="22"/>
      <c r="U165" s="22"/>
    </row>
    <row r="166" spans="20:21" x14ac:dyDescent="0.25">
      <c r="T166" s="22"/>
      <c r="U166" s="22"/>
    </row>
    <row r="167" spans="20:21" x14ac:dyDescent="0.25">
      <c r="T167" s="22"/>
      <c r="U167" s="22"/>
    </row>
    <row r="168" spans="20:21" x14ac:dyDescent="0.25">
      <c r="T168" s="22"/>
      <c r="U168" s="22"/>
    </row>
    <row r="169" spans="20:21" x14ac:dyDescent="0.25">
      <c r="T169" s="22"/>
      <c r="U169" s="22"/>
    </row>
    <row r="170" spans="20:21" x14ac:dyDescent="0.25">
      <c r="T170" s="22"/>
      <c r="U170" s="22"/>
    </row>
    <row r="171" spans="20:21" x14ac:dyDescent="0.25">
      <c r="T171" s="22"/>
      <c r="U171" s="22"/>
    </row>
    <row r="172" spans="20:21" x14ac:dyDescent="0.25">
      <c r="T172" s="22"/>
      <c r="U172" s="22"/>
    </row>
    <row r="173" spans="20:21" x14ac:dyDescent="0.25">
      <c r="T173" s="22"/>
      <c r="U173" s="22"/>
    </row>
    <row r="174" spans="20:21" x14ac:dyDescent="0.25">
      <c r="T174" s="22"/>
      <c r="U174" s="22"/>
    </row>
    <row r="175" spans="20:21" x14ac:dyDescent="0.25">
      <c r="T175" s="22"/>
      <c r="U175" s="22"/>
    </row>
    <row r="176" spans="20:21" x14ac:dyDescent="0.25">
      <c r="T176" s="22"/>
      <c r="U176" s="22"/>
    </row>
    <row r="177" spans="20:22" x14ac:dyDescent="0.25">
      <c r="T177" s="22"/>
      <c r="U177" s="22"/>
    </row>
    <row r="178" spans="20:22" x14ac:dyDescent="0.25">
      <c r="T178" s="22"/>
      <c r="U178" s="22"/>
    </row>
    <row r="179" spans="20:22" x14ac:dyDescent="0.25">
      <c r="T179" s="22"/>
      <c r="U179" s="22"/>
    </row>
    <row r="180" spans="20:22" x14ac:dyDescent="0.25">
      <c r="T180" s="22"/>
      <c r="U180" s="22"/>
    </row>
    <row r="181" spans="20:22" x14ac:dyDescent="0.25">
      <c r="T181" s="22"/>
      <c r="U181" s="22"/>
    </row>
    <row r="182" spans="20:22" x14ac:dyDescent="0.25">
      <c r="T182" s="22"/>
      <c r="U182" s="22"/>
    </row>
    <row r="183" spans="20:22" x14ac:dyDescent="0.25">
      <c r="T183" s="22"/>
      <c r="U183" s="22"/>
    </row>
    <row r="184" spans="20:22" x14ac:dyDescent="0.25">
      <c r="T184" s="22"/>
      <c r="U184" s="22"/>
    </row>
    <row r="185" spans="20:22" x14ac:dyDescent="0.25">
      <c r="T185" s="22"/>
      <c r="U185" s="22"/>
    </row>
    <row r="186" spans="20:22" x14ac:dyDescent="0.25">
      <c r="T186" s="22"/>
      <c r="U186" s="22"/>
    </row>
    <row r="187" spans="20:22" x14ac:dyDescent="0.25">
      <c r="T187" s="23"/>
      <c r="U187" s="23"/>
      <c r="V187" s="17"/>
    </row>
    <row r="188" spans="20:22" x14ac:dyDescent="0.25">
      <c r="T188" s="23"/>
      <c r="U188" s="23"/>
      <c r="V188" s="17"/>
    </row>
    <row r="189" spans="20:22" x14ac:dyDescent="0.25">
      <c r="T189" s="23"/>
      <c r="U189" s="23"/>
      <c r="V189" s="17"/>
    </row>
    <row r="190" spans="20:22" x14ac:dyDescent="0.25">
      <c r="T190" s="23"/>
      <c r="U190" s="23"/>
      <c r="V190" s="17"/>
    </row>
    <row r="191" spans="20:22" x14ac:dyDescent="0.25">
      <c r="T191" s="23"/>
      <c r="U191" s="23"/>
      <c r="V191" s="17"/>
    </row>
    <row r="192" spans="20:22" x14ac:dyDescent="0.25">
      <c r="T192" s="23"/>
      <c r="U192" s="23"/>
      <c r="V192" s="17"/>
    </row>
    <row r="193" spans="20:22" x14ac:dyDescent="0.25">
      <c r="T193" s="23"/>
      <c r="U193" s="23"/>
      <c r="V193" s="17"/>
    </row>
    <row r="194" spans="20:22" x14ac:dyDescent="0.25">
      <c r="T194" s="22"/>
      <c r="U194" s="22"/>
    </row>
    <row r="195" spans="20:22" x14ac:dyDescent="0.25">
      <c r="T195" s="22"/>
      <c r="U195" s="22"/>
    </row>
    <row r="196" spans="20:22" x14ac:dyDescent="0.25">
      <c r="T196" s="22"/>
      <c r="U196" s="22"/>
    </row>
    <row r="197" spans="20:22" x14ac:dyDescent="0.25">
      <c r="T197" s="22"/>
      <c r="U197" s="22"/>
    </row>
    <row r="198" spans="20:22" x14ac:dyDescent="0.25">
      <c r="T198" s="22"/>
      <c r="U198" s="22"/>
    </row>
    <row r="199" spans="20:22" x14ac:dyDescent="0.25">
      <c r="T199" s="22"/>
      <c r="U199" s="22"/>
    </row>
    <row r="200" spans="20:22" x14ac:dyDescent="0.25">
      <c r="T200" s="22"/>
      <c r="U200" s="22"/>
    </row>
    <row r="201" spans="20:22" x14ac:dyDescent="0.25">
      <c r="T201" s="22"/>
      <c r="U201" s="22"/>
    </row>
    <row r="202" spans="20:22" x14ac:dyDescent="0.25">
      <c r="T202" s="22"/>
      <c r="U202" s="22"/>
    </row>
    <row r="203" spans="20:22" x14ac:dyDescent="0.25">
      <c r="T203" s="22"/>
      <c r="U203" s="22"/>
    </row>
    <row r="204" spans="20:22" x14ac:dyDescent="0.25">
      <c r="T204" s="22"/>
      <c r="U204" s="22"/>
    </row>
    <row r="205" spans="20:22" x14ac:dyDescent="0.25">
      <c r="T205" s="22"/>
      <c r="U205" s="22"/>
    </row>
    <row r="206" spans="20:22" x14ac:dyDescent="0.25">
      <c r="T206" s="22"/>
      <c r="U206" s="22"/>
    </row>
    <row r="207" spans="20:22" x14ac:dyDescent="0.25">
      <c r="T207" s="22"/>
      <c r="U207" s="22"/>
    </row>
    <row r="208" spans="20:22" x14ac:dyDescent="0.25">
      <c r="T208" s="22"/>
      <c r="U208" s="22"/>
    </row>
    <row r="209" spans="20:21" x14ac:dyDescent="0.25">
      <c r="T209" s="22"/>
      <c r="U209" s="22"/>
    </row>
    <row r="210" spans="20:21" x14ac:dyDescent="0.25">
      <c r="T210" s="22"/>
      <c r="U210" s="22"/>
    </row>
    <row r="211" spans="20:21" x14ac:dyDescent="0.25">
      <c r="T211" s="22"/>
      <c r="U211" s="22"/>
    </row>
    <row r="212" spans="20:21" x14ac:dyDescent="0.25">
      <c r="T212" s="22"/>
      <c r="U212" s="22"/>
    </row>
    <row r="213" spans="20:21" x14ac:dyDescent="0.25">
      <c r="T213" s="22"/>
      <c r="U213" s="22"/>
    </row>
    <row r="214" spans="20:21" x14ac:dyDescent="0.25">
      <c r="T214" s="22"/>
      <c r="U214" s="22"/>
    </row>
    <row r="215" spans="20:21" x14ac:dyDescent="0.25">
      <c r="T215" s="22"/>
      <c r="U215" s="22"/>
    </row>
    <row r="216" spans="20:21" x14ac:dyDescent="0.25">
      <c r="T216" s="22"/>
      <c r="U216" s="22"/>
    </row>
    <row r="217" spans="20:21" x14ac:dyDescent="0.25">
      <c r="T217" s="22"/>
      <c r="U217" s="22"/>
    </row>
    <row r="218" spans="20:21" x14ac:dyDescent="0.25">
      <c r="T218" s="22"/>
      <c r="U218" s="22"/>
    </row>
    <row r="219" spans="20:21" x14ac:dyDescent="0.25">
      <c r="T219" s="22"/>
      <c r="U219" s="22"/>
    </row>
    <row r="220" spans="20:21" x14ac:dyDescent="0.25">
      <c r="T220" s="22"/>
      <c r="U220" s="22"/>
    </row>
    <row r="221" spans="20:21" x14ac:dyDescent="0.25">
      <c r="T221" s="22"/>
      <c r="U221" s="22"/>
    </row>
    <row r="222" spans="20:21" x14ac:dyDescent="0.25">
      <c r="T222" s="22"/>
      <c r="U222" s="22"/>
    </row>
    <row r="223" spans="20:21" x14ac:dyDescent="0.25">
      <c r="T223" s="22"/>
      <c r="U223" s="22"/>
    </row>
    <row r="224" spans="20:21" x14ac:dyDescent="0.25">
      <c r="T224" s="22"/>
      <c r="U224" s="22"/>
    </row>
    <row r="225" spans="20:21" x14ac:dyDescent="0.25">
      <c r="T225" s="22"/>
      <c r="U225" s="22"/>
    </row>
    <row r="226" spans="20:21" x14ac:dyDescent="0.25">
      <c r="T226" s="22"/>
      <c r="U226" s="22"/>
    </row>
    <row r="227" spans="20:21" x14ac:dyDescent="0.25">
      <c r="T227" s="22"/>
      <c r="U227" s="22"/>
    </row>
    <row r="228" spans="20:21" x14ac:dyDescent="0.25">
      <c r="T228" s="22"/>
      <c r="U228" s="22"/>
    </row>
    <row r="229" spans="20:21" x14ac:dyDescent="0.25">
      <c r="T229" s="22"/>
      <c r="U229" s="22"/>
    </row>
    <row r="230" spans="20:21" x14ac:dyDescent="0.25">
      <c r="T230" s="22"/>
      <c r="U230" s="22"/>
    </row>
    <row r="231" spans="20:21" x14ac:dyDescent="0.25">
      <c r="T231" s="22"/>
      <c r="U231" s="22"/>
    </row>
    <row r="232" spans="20:21" x14ac:dyDescent="0.25">
      <c r="T232" s="22"/>
      <c r="U232" s="22"/>
    </row>
    <row r="233" spans="20:21" x14ac:dyDescent="0.25">
      <c r="T233" s="22"/>
      <c r="U233" s="22"/>
    </row>
    <row r="234" spans="20:21" x14ac:dyDescent="0.25">
      <c r="T234" s="22"/>
      <c r="U234" s="22"/>
    </row>
    <row r="235" spans="20:21" x14ac:dyDescent="0.25">
      <c r="T235" s="22"/>
      <c r="U235" s="22"/>
    </row>
    <row r="236" spans="20:21" x14ac:dyDescent="0.25">
      <c r="T236" s="22"/>
      <c r="U236" s="22"/>
    </row>
    <row r="237" spans="20:21" x14ac:dyDescent="0.25">
      <c r="T237" s="22"/>
      <c r="U237" s="22"/>
    </row>
    <row r="238" spans="20:21" x14ac:dyDescent="0.25">
      <c r="T238" s="22"/>
      <c r="U238" s="22"/>
    </row>
    <row r="239" spans="20:21" x14ac:dyDescent="0.25">
      <c r="T239" s="22"/>
      <c r="U239" s="22"/>
    </row>
    <row r="240" spans="20:21" x14ac:dyDescent="0.25">
      <c r="T240" s="22"/>
      <c r="U240" s="22"/>
    </row>
    <row r="241" spans="20:21" x14ac:dyDescent="0.25">
      <c r="T241" s="22"/>
      <c r="U241" s="22"/>
    </row>
    <row r="242" spans="20:21" x14ac:dyDescent="0.25">
      <c r="T242" s="22"/>
      <c r="U242" s="22"/>
    </row>
    <row r="243" spans="20:21" x14ac:dyDescent="0.25">
      <c r="T243" s="22"/>
      <c r="U243" s="22"/>
    </row>
    <row r="244" spans="20:21" x14ac:dyDescent="0.25">
      <c r="T244" s="22"/>
      <c r="U244" s="22"/>
    </row>
    <row r="245" spans="20:21" x14ac:dyDescent="0.25">
      <c r="T245" s="22"/>
      <c r="U245" s="22"/>
    </row>
    <row r="246" spans="20:21" x14ac:dyDescent="0.25">
      <c r="T246" s="22"/>
      <c r="U246" s="22"/>
    </row>
    <row r="247" spans="20:21" x14ac:dyDescent="0.25">
      <c r="T247" s="22"/>
      <c r="U247" s="22"/>
    </row>
    <row r="248" spans="20:21" x14ac:dyDescent="0.25">
      <c r="T248" s="22"/>
      <c r="U248" s="22"/>
    </row>
    <row r="249" spans="20:21" x14ac:dyDescent="0.25">
      <c r="T249" s="22"/>
      <c r="U249" s="22"/>
    </row>
    <row r="250" spans="20:21" x14ac:dyDescent="0.25">
      <c r="T250" s="22"/>
      <c r="U250" s="22"/>
    </row>
    <row r="251" spans="20:21" x14ac:dyDescent="0.25">
      <c r="T251" s="22"/>
      <c r="U251" s="22"/>
    </row>
    <row r="252" spans="20:21" x14ac:dyDescent="0.25">
      <c r="T252" s="22"/>
      <c r="U252" s="22"/>
    </row>
    <row r="253" spans="20:21" x14ac:dyDescent="0.25">
      <c r="T253" s="22"/>
      <c r="U253" s="22"/>
    </row>
    <row r="254" spans="20:21" x14ac:dyDescent="0.25">
      <c r="T254" s="22"/>
      <c r="U254" s="22"/>
    </row>
    <row r="255" spans="20:21" x14ac:dyDescent="0.25">
      <c r="T255" s="22"/>
      <c r="U255" s="22"/>
    </row>
    <row r="256" spans="20:21" x14ac:dyDescent="0.25">
      <c r="T256" s="22"/>
      <c r="U256" s="22"/>
    </row>
    <row r="257" spans="20:21" x14ac:dyDescent="0.25">
      <c r="T257" s="22"/>
      <c r="U257" s="22"/>
    </row>
    <row r="258" spans="20:21" x14ac:dyDescent="0.25">
      <c r="T258" s="22"/>
      <c r="U258" s="22"/>
    </row>
    <row r="259" spans="20:21" x14ac:dyDescent="0.25">
      <c r="T259" s="22"/>
      <c r="U259" s="22"/>
    </row>
    <row r="260" spans="20:21" x14ac:dyDescent="0.25">
      <c r="T260" s="22"/>
      <c r="U260" s="22"/>
    </row>
    <row r="261" spans="20:21" x14ac:dyDescent="0.25">
      <c r="T261" s="22"/>
      <c r="U261" s="22"/>
    </row>
    <row r="262" spans="20:21" x14ac:dyDescent="0.25">
      <c r="T262" s="22"/>
      <c r="U262" s="22"/>
    </row>
    <row r="263" spans="20:21" x14ac:dyDescent="0.25">
      <c r="T263" s="22"/>
      <c r="U263" s="22"/>
    </row>
    <row r="264" spans="20:21" x14ac:dyDescent="0.25">
      <c r="T264" s="22"/>
      <c r="U264" s="22"/>
    </row>
    <row r="265" spans="20:21" x14ac:dyDescent="0.25">
      <c r="T265" s="22"/>
      <c r="U265" s="22"/>
    </row>
    <row r="266" spans="20:21" x14ac:dyDescent="0.25">
      <c r="T266" s="22"/>
      <c r="U266" s="22"/>
    </row>
    <row r="267" spans="20:21" x14ac:dyDescent="0.25">
      <c r="T267" s="22"/>
      <c r="U267" s="22"/>
    </row>
    <row r="268" spans="20:21" x14ac:dyDescent="0.25">
      <c r="T268" s="22"/>
      <c r="U268" s="22"/>
    </row>
    <row r="269" spans="20:21" x14ac:dyDescent="0.25">
      <c r="T269" s="22"/>
      <c r="U269" s="22"/>
    </row>
    <row r="270" spans="20:21" x14ac:dyDescent="0.25">
      <c r="T270" s="22"/>
      <c r="U270" s="22"/>
    </row>
    <row r="271" spans="20:21" x14ac:dyDescent="0.25">
      <c r="T271" s="22"/>
      <c r="U271" s="22"/>
    </row>
    <row r="272" spans="20:21" x14ac:dyDescent="0.25">
      <c r="T272" s="22"/>
      <c r="U272" s="22"/>
    </row>
    <row r="273" spans="20:21" x14ac:dyDescent="0.25">
      <c r="T273" s="22"/>
      <c r="U273" s="22"/>
    </row>
    <row r="274" spans="20:21" x14ac:dyDescent="0.25">
      <c r="T274" s="22"/>
      <c r="U274" s="22"/>
    </row>
    <row r="275" spans="20:21" x14ac:dyDescent="0.25">
      <c r="T275" s="22"/>
      <c r="U275" s="22"/>
    </row>
    <row r="276" spans="20:21" x14ac:dyDescent="0.25">
      <c r="T276" s="22"/>
      <c r="U276" s="22"/>
    </row>
    <row r="277" spans="20:21" x14ac:dyDescent="0.25">
      <c r="T277" s="22"/>
      <c r="U277" s="22"/>
    </row>
    <row r="278" spans="20:21" x14ac:dyDescent="0.25">
      <c r="T278" s="22"/>
      <c r="U278" s="22"/>
    </row>
    <row r="279" spans="20:21" x14ac:dyDescent="0.25">
      <c r="T279" s="22"/>
      <c r="U279" s="22"/>
    </row>
    <row r="280" spans="20:21" x14ac:dyDescent="0.25">
      <c r="T280" s="22"/>
      <c r="U280" s="22"/>
    </row>
    <row r="281" spans="20:21" x14ac:dyDescent="0.25">
      <c r="T281" s="22"/>
      <c r="U281" s="22"/>
    </row>
    <row r="282" spans="20:21" x14ac:dyDescent="0.25">
      <c r="T282" s="22"/>
      <c r="U282" s="22"/>
    </row>
    <row r="283" spans="20:21" x14ac:dyDescent="0.25">
      <c r="T283" s="22"/>
      <c r="U283" s="22"/>
    </row>
    <row r="284" spans="20:21" x14ac:dyDescent="0.25">
      <c r="T284" s="22"/>
      <c r="U284" s="22"/>
    </row>
    <row r="285" spans="20:21" x14ac:dyDescent="0.25">
      <c r="T285" s="22"/>
      <c r="U285" s="22"/>
    </row>
    <row r="286" spans="20:21" x14ac:dyDescent="0.25">
      <c r="T286" s="22"/>
      <c r="U286" s="22"/>
    </row>
    <row r="287" spans="20:21" x14ac:dyDescent="0.25">
      <c r="T287" s="22"/>
      <c r="U287" s="22"/>
    </row>
    <row r="288" spans="20:21" x14ac:dyDescent="0.25">
      <c r="T288" s="22"/>
      <c r="U288" s="22"/>
    </row>
    <row r="289" spans="20:21" x14ac:dyDescent="0.25">
      <c r="T289" s="22"/>
      <c r="U289" s="22"/>
    </row>
    <row r="290" spans="20:21" x14ac:dyDescent="0.25">
      <c r="T290" s="22"/>
      <c r="U290" s="22"/>
    </row>
    <row r="291" spans="20:21" x14ac:dyDescent="0.25">
      <c r="T291" s="22"/>
      <c r="U291" s="22"/>
    </row>
    <row r="292" spans="20:21" x14ac:dyDescent="0.25">
      <c r="T292" s="22"/>
      <c r="U292" s="22"/>
    </row>
    <row r="293" spans="20:21" x14ac:dyDescent="0.25">
      <c r="T293" s="22"/>
      <c r="U293" s="22"/>
    </row>
    <row r="294" spans="20:21" x14ac:dyDescent="0.25">
      <c r="T294" s="22"/>
      <c r="U294" s="22"/>
    </row>
    <row r="295" spans="20:21" x14ac:dyDescent="0.25">
      <c r="T295" s="22"/>
      <c r="U295" s="22"/>
    </row>
    <row r="296" spans="20:21" x14ac:dyDescent="0.25">
      <c r="T296" s="22"/>
      <c r="U296" s="22"/>
    </row>
    <row r="297" spans="20:21" x14ac:dyDescent="0.25">
      <c r="T297" s="22"/>
      <c r="U297" s="22"/>
    </row>
    <row r="298" spans="20:21" x14ac:dyDescent="0.25">
      <c r="T298" s="22"/>
      <c r="U298" s="22"/>
    </row>
    <row r="299" spans="20:21" x14ac:dyDescent="0.25">
      <c r="T299" s="22"/>
      <c r="U299" s="22"/>
    </row>
    <row r="300" spans="20:21" x14ac:dyDescent="0.25">
      <c r="T300" s="22"/>
      <c r="U300" s="22"/>
    </row>
    <row r="301" spans="20:21" x14ac:dyDescent="0.25">
      <c r="T301" s="22"/>
      <c r="U301" s="22"/>
    </row>
    <row r="302" spans="20:21" x14ac:dyDescent="0.25">
      <c r="T302" s="22"/>
      <c r="U302" s="22"/>
    </row>
    <row r="303" spans="20:21" x14ac:dyDescent="0.25">
      <c r="T303" s="22"/>
      <c r="U303" s="22"/>
    </row>
    <row r="304" spans="20:21" x14ac:dyDescent="0.25">
      <c r="T304" s="22"/>
      <c r="U304" s="22"/>
    </row>
    <row r="305" spans="20:21" x14ac:dyDescent="0.25">
      <c r="T305" s="22"/>
      <c r="U305" s="22"/>
    </row>
    <row r="306" spans="20:21" x14ac:dyDescent="0.25">
      <c r="T306" s="22"/>
      <c r="U306" s="22"/>
    </row>
    <row r="307" spans="20:21" x14ac:dyDescent="0.25">
      <c r="T307" s="22"/>
      <c r="U307" s="22"/>
    </row>
    <row r="308" spans="20:21" x14ac:dyDescent="0.25">
      <c r="T308" s="22"/>
      <c r="U308" s="22"/>
    </row>
    <row r="309" spans="20:21" x14ac:dyDescent="0.25">
      <c r="T309" s="22"/>
      <c r="U309" s="22"/>
    </row>
    <row r="310" spans="20:21" x14ac:dyDescent="0.25">
      <c r="T310" s="22"/>
      <c r="U310" s="22"/>
    </row>
    <row r="311" spans="20:21" x14ac:dyDescent="0.25">
      <c r="T311" s="22"/>
      <c r="U311" s="22"/>
    </row>
    <row r="312" spans="20:21" x14ac:dyDescent="0.25">
      <c r="T312" s="22"/>
      <c r="U312" s="22"/>
    </row>
    <row r="313" spans="20:21" x14ac:dyDescent="0.25">
      <c r="T313" s="22"/>
      <c r="U313" s="22"/>
    </row>
    <row r="314" spans="20:21" x14ac:dyDescent="0.25">
      <c r="T314" s="22"/>
      <c r="U314" s="22"/>
    </row>
    <row r="315" spans="20:21" x14ac:dyDescent="0.25">
      <c r="T315" s="22"/>
      <c r="U315" s="22"/>
    </row>
    <row r="316" spans="20:21" x14ac:dyDescent="0.25">
      <c r="T316" s="22"/>
      <c r="U316" s="22"/>
    </row>
    <row r="317" spans="20:21" x14ac:dyDescent="0.25">
      <c r="T317" s="22"/>
      <c r="U317" s="22"/>
    </row>
    <row r="318" spans="20:21" x14ac:dyDescent="0.25">
      <c r="T318" s="22"/>
      <c r="U318" s="22"/>
    </row>
    <row r="319" spans="20:21" x14ac:dyDescent="0.25">
      <c r="T319" s="22"/>
      <c r="U319" s="22"/>
    </row>
    <row r="320" spans="20:21" x14ac:dyDescent="0.25">
      <c r="T320" s="22"/>
      <c r="U320" s="22"/>
    </row>
    <row r="321" spans="20:22" x14ac:dyDescent="0.25">
      <c r="T321" s="22"/>
      <c r="U321" s="22"/>
    </row>
    <row r="322" spans="20:22" x14ac:dyDescent="0.25">
      <c r="T322" s="22"/>
      <c r="U322" s="22"/>
    </row>
    <row r="323" spans="20:22" x14ac:dyDescent="0.25">
      <c r="T323" s="22"/>
      <c r="U323" s="22"/>
    </row>
    <row r="324" spans="20:22" x14ac:dyDescent="0.25">
      <c r="T324" s="22"/>
      <c r="U324" s="22"/>
    </row>
    <row r="325" spans="20:22" x14ac:dyDescent="0.25">
      <c r="T325" s="22"/>
      <c r="U325" s="22"/>
    </row>
    <row r="326" spans="20:22" x14ac:dyDescent="0.25">
      <c r="T326" s="22"/>
      <c r="U326" s="22"/>
    </row>
    <row r="327" spans="20:22" x14ac:dyDescent="0.25">
      <c r="T327" s="23"/>
      <c r="U327" s="23"/>
      <c r="V327" s="17"/>
    </row>
    <row r="328" spans="20:22" x14ac:dyDescent="0.25">
      <c r="T328" s="23"/>
      <c r="U328" s="23"/>
      <c r="V328" s="17"/>
    </row>
    <row r="329" spans="20:22" x14ac:dyDescent="0.25">
      <c r="T329" s="23"/>
      <c r="U329" s="23"/>
      <c r="V329" s="17"/>
    </row>
    <row r="330" spans="20:22" x14ac:dyDescent="0.25">
      <c r="T330" s="23"/>
      <c r="U330" s="23"/>
      <c r="V330" s="17"/>
    </row>
    <row r="331" spans="20:22" x14ac:dyDescent="0.25">
      <c r="T331" s="23"/>
      <c r="U331" s="23"/>
      <c r="V331" s="17"/>
    </row>
    <row r="332" spans="20:22" x14ac:dyDescent="0.25">
      <c r="T332" s="23"/>
      <c r="U332" s="23"/>
      <c r="V332" s="17"/>
    </row>
    <row r="333" spans="20:22" x14ac:dyDescent="0.25">
      <c r="T333" s="23"/>
      <c r="U333" s="23"/>
      <c r="V333" s="17"/>
    </row>
    <row r="334" spans="20:22" x14ac:dyDescent="0.25">
      <c r="T334" s="22"/>
      <c r="U334" s="22"/>
    </row>
    <row r="335" spans="20:22" x14ac:dyDescent="0.25">
      <c r="T335" s="22"/>
      <c r="U335" s="22"/>
    </row>
    <row r="336" spans="20:22" x14ac:dyDescent="0.25">
      <c r="T336" s="22"/>
      <c r="U336" s="22"/>
    </row>
    <row r="337" spans="20:22" x14ac:dyDescent="0.25">
      <c r="T337" s="22"/>
      <c r="U337" s="22"/>
    </row>
    <row r="338" spans="20:22" x14ac:dyDescent="0.25">
      <c r="T338" s="22"/>
      <c r="U338" s="22"/>
    </row>
    <row r="339" spans="20:22" x14ac:dyDescent="0.25">
      <c r="T339" s="22"/>
      <c r="U339" s="22"/>
    </row>
    <row r="340" spans="20:22" x14ac:dyDescent="0.25">
      <c r="T340" s="22"/>
      <c r="U340" s="22"/>
    </row>
    <row r="341" spans="20:22" x14ac:dyDescent="0.25">
      <c r="T341" s="23"/>
      <c r="U341" s="23"/>
      <c r="V341" s="17"/>
    </row>
    <row r="342" spans="20:22" x14ac:dyDescent="0.25">
      <c r="T342" s="23"/>
      <c r="U342" s="23"/>
      <c r="V342" s="17"/>
    </row>
    <row r="343" spans="20:22" x14ac:dyDescent="0.25">
      <c r="T343" s="23"/>
      <c r="U343" s="23"/>
      <c r="V343" s="17"/>
    </row>
    <row r="344" spans="20:22" x14ac:dyDescent="0.25">
      <c r="T344" s="23"/>
      <c r="U344" s="23"/>
      <c r="V344" s="17"/>
    </row>
    <row r="345" spans="20:22" x14ac:dyDescent="0.25">
      <c r="T345" s="23"/>
      <c r="U345" s="23"/>
      <c r="V345" s="17"/>
    </row>
    <row r="346" spans="20:22" x14ac:dyDescent="0.25">
      <c r="T346" s="23"/>
      <c r="U346" s="23"/>
      <c r="V346" s="17"/>
    </row>
    <row r="347" spans="20:22" x14ac:dyDescent="0.25">
      <c r="T347" s="23"/>
      <c r="U347" s="23"/>
      <c r="V347" s="17"/>
    </row>
    <row r="348" spans="20:22" x14ac:dyDescent="0.25">
      <c r="T348" s="23"/>
      <c r="U348" s="23"/>
      <c r="V348" s="17"/>
    </row>
    <row r="349" spans="20:22" x14ac:dyDescent="0.25">
      <c r="T349" s="23"/>
      <c r="U349" s="23"/>
      <c r="V349" s="17"/>
    </row>
    <row r="350" spans="20:22" x14ac:dyDescent="0.25">
      <c r="T350" s="23"/>
      <c r="U350" s="23"/>
      <c r="V350" s="17"/>
    </row>
    <row r="351" spans="20:22" x14ac:dyDescent="0.25">
      <c r="T351" s="23"/>
      <c r="U351" s="23"/>
      <c r="V351" s="17"/>
    </row>
    <row r="352" spans="20:22" x14ac:dyDescent="0.25">
      <c r="T352" s="23"/>
      <c r="U352" s="23"/>
      <c r="V352" s="17"/>
    </row>
    <row r="353" spans="20:22" x14ac:dyDescent="0.25">
      <c r="T353" s="23"/>
      <c r="U353" s="23"/>
      <c r="V353" s="17"/>
    </row>
    <row r="354" spans="20:22" x14ac:dyDescent="0.25">
      <c r="T354" s="23"/>
      <c r="U354" s="23"/>
      <c r="V354" s="17"/>
    </row>
    <row r="355" spans="20:22" x14ac:dyDescent="0.25">
      <c r="T355" s="22"/>
      <c r="U355" s="22"/>
    </row>
    <row r="356" spans="20:22" x14ac:dyDescent="0.25">
      <c r="T356" s="22"/>
      <c r="U356" s="22"/>
    </row>
    <row r="357" spans="20:22" x14ac:dyDescent="0.25">
      <c r="T357" s="22"/>
      <c r="U357" s="22"/>
    </row>
    <row r="358" spans="20:22" x14ac:dyDescent="0.25">
      <c r="T358" s="22"/>
      <c r="U358" s="22"/>
    </row>
    <row r="359" spans="20:22" x14ac:dyDescent="0.25">
      <c r="T359" s="22"/>
      <c r="U359" s="22"/>
    </row>
    <row r="360" spans="20:22" x14ac:dyDescent="0.25">
      <c r="T360" s="22"/>
      <c r="U360" s="22"/>
    </row>
    <row r="361" spans="20:22" x14ac:dyDescent="0.25">
      <c r="T361" s="22"/>
      <c r="U361" s="22"/>
    </row>
    <row r="362" spans="20:22" x14ac:dyDescent="0.25">
      <c r="T362" s="22"/>
      <c r="U362" s="22"/>
    </row>
    <row r="363" spans="20:22" x14ac:dyDescent="0.25">
      <c r="T363" s="22"/>
      <c r="U363" s="22"/>
    </row>
    <row r="364" spans="20:22" x14ac:dyDescent="0.25">
      <c r="T364" s="22"/>
      <c r="U364" s="22"/>
    </row>
    <row r="365" spans="20:22" x14ac:dyDescent="0.25">
      <c r="T365" s="22"/>
      <c r="U365" s="22"/>
    </row>
    <row r="366" spans="20:22" x14ac:dyDescent="0.25">
      <c r="T366" s="22"/>
      <c r="U366" s="22"/>
    </row>
    <row r="367" spans="20:22" x14ac:dyDescent="0.25">
      <c r="T367" s="22"/>
      <c r="U367" s="22"/>
    </row>
    <row r="368" spans="20:22" x14ac:dyDescent="0.25">
      <c r="T368" s="22"/>
      <c r="U368" s="22"/>
    </row>
    <row r="369" spans="20:21" x14ac:dyDescent="0.25">
      <c r="T369" s="22"/>
      <c r="U369" s="22"/>
    </row>
    <row r="370" spans="20:21" x14ac:dyDescent="0.25">
      <c r="T370" s="22"/>
      <c r="U370" s="22"/>
    </row>
    <row r="371" spans="20:21" x14ac:dyDescent="0.25">
      <c r="T371" s="22"/>
      <c r="U371" s="22"/>
    </row>
    <row r="372" spans="20:21" x14ac:dyDescent="0.25">
      <c r="T372" s="22"/>
      <c r="U372" s="22"/>
    </row>
    <row r="373" spans="20:21" x14ac:dyDescent="0.25">
      <c r="T373" s="22"/>
      <c r="U373" s="22"/>
    </row>
    <row r="374" spans="20:21" x14ac:dyDescent="0.25">
      <c r="T374" s="22"/>
      <c r="U374" s="22"/>
    </row>
    <row r="375" spans="20:21" x14ac:dyDescent="0.25">
      <c r="T375" s="22"/>
      <c r="U375" s="22"/>
    </row>
    <row r="376" spans="20:21" x14ac:dyDescent="0.25">
      <c r="T376" s="22"/>
      <c r="U376" s="22"/>
    </row>
    <row r="377" spans="20:21" x14ac:dyDescent="0.25">
      <c r="T377" s="22"/>
      <c r="U377" s="22"/>
    </row>
    <row r="378" spans="20:21" x14ac:dyDescent="0.25">
      <c r="T378" s="22"/>
      <c r="U378" s="22"/>
    </row>
    <row r="379" spans="20:21" x14ac:dyDescent="0.25">
      <c r="T379" s="22"/>
      <c r="U379" s="22"/>
    </row>
    <row r="380" spans="20:21" x14ac:dyDescent="0.25">
      <c r="T380" s="22"/>
      <c r="U380" s="22"/>
    </row>
    <row r="381" spans="20:21" x14ac:dyDescent="0.25">
      <c r="T381" s="22"/>
      <c r="U381" s="22"/>
    </row>
    <row r="382" spans="20:21" x14ac:dyDescent="0.25">
      <c r="T382" s="22"/>
      <c r="U382" s="22"/>
    </row>
    <row r="383" spans="20:21" x14ac:dyDescent="0.25">
      <c r="T383" s="22"/>
      <c r="U383" s="22"/>
    </row>
    <row r="384" spans="20:21" x14ac:dyDescent="0.25">
      <c r="T384" s="22"/>
      <c r="U384" s="22"/>
    </row>
    <row r="385" spans="20:21" x14ac:dyDescent="0.25">
      <c r="T385" s="22"/>
      <c r="U385" s="22"/>
    </row>
    <row r="386" spans="20:21" x14ac:dyDescent="0.25">
      <c r="T386" s="22"/>
      <c r="U386" s="22"/>
    </row>
    <row r="387" spans="20:21" x14ac:dyDescent="0.25">
      <c r="T387" s="22"/>
      <c r="U387" s="22"/>
    </row>
    <row r="388" spans="20:21" x14ac:dyDescent="0.25">
      <c r="T388" s="22"/>
      <c r="U388" s="22"/>
    </row>
    <row r="389" spans="20:21" x14ac:dyDescent="0.25">
      <c r="T389" s="22"/>
      <c r="U389" s="22"/>
    </row>
    <row r="390" spans="20:21" x14ac:dyDescent="0.25">
      <c r="T390" s="22"/>
      <c r="U390" s="22"/>
    </row>
    <row r="391" spans="20:21" x14ac:dyDescent="0.25">
      <c r="T391" s="22"/>
      <c r="U391" s="22"/>
    </row>
    <row r="392" spans="20:21" x14ac:dyDescent="0.25">
      <c r="T392" s="22"/>
      <c r="U392" s="22"/>
    </row>
    <row r="393" spans="20:21" x14ac:dyDescent="0.25">
      <c r="T393" s="22"/>
      <c r="U393" s="22"/>
    </row>
    <row r="394" spans="20:21" x14ac:dyDescent="0.25">
      <c r="T394" s="22"/>
      <c r="U394" s="22"/>
    </row>
    <row r="395" spans="20:21" x14ac:dyDescent="0.25">
      <c r="T395" s="22"/>
      <c r="U395" s="22"/>
    </row>
    <row r="396" spans="20:21" x14ac:dyDescent="0.25">
      <c r="T396" s="22"/>
      <c r="U396" s="22"/>
    </row>
    <row r="397" spans="20:21" x14ac:dyDescent="0.25">
      <c r="T397" s="22"/>
      <c r="U397" s="22"/>
    </row>
    <row r="398" spans="20:21" x14ac:dyDescent="0.25">
      <c r="T398" s="22"/>
      <c r="U398" s="22"/>
    </row>
    <row r="399" spans="20:21" x14ac:dyDescent="0.25">
      <c r="T399" s="22"/>
      <c r="U399" s="22"/>
    </row>
    <row r="400" spans="20:21" x14ac:dyDescent="0.25">
      <c r="T400" s="22"/>
      <c r="U400" s="22"/>
    </row>
    <row r="401" spans="20:21" x14ac:dyDescent="0.25">
      <c r="T401" s="22"/>
      <c r="U401" s="22"/>
    </row>
    <row r="402" spans="20:21" x14ac:dyDescent="0.25">
      <c r="T402" s="22"/>
      <c r="U402" s="22"/>
    </row>
    <row r="403" spans="20:21" x14ac:dyDescent="0.25">
      <c r="T403" s="22"/>
      <c r="U403" s="22"/>
    </row>
    <row r="404" spans="20:21" x14ac:dyDescent="0.25">
      <c r="T404" s="22"/>
      <c r="U404" s="22"/>
    </row>
    <row r="405" spans="20:21" x14ac:dyDescent="0.25">
      <c r="T405" s="22"/>
      <c r="U405" s="22"/>
    </row>
    <row r="406" spans="20:21" x14ac:dyDescent="0.25">
      <c r="T406" s="22"/>
      <c r="U406" s="22"/>
    </row>
    <row r="407" spans="20:21" x14ac:dyDescent="0.25">
      <c r="T407" s="22"/>
      <c r="U407" s="22"/>
    </row>
    <row r="408" spans="20:21" x14ac:dyDescent="0.25">
      <c r="T408" s="22"/>
      <c r="U408" s="22"/>
    </row>
    <row r="409" spans="20:21" x14ac:dyDescent="0.25">
      <c r="T409" s="22"/>
      <c r="U409" s="22"/>
    </row>
    <row r="410" spans="20:21" x14ac:dyDescent="0.25">
      <c r="T410" s="22"/>
      <c r="U410" s="22"/>
    </row>
    <row r="411" spans="20:21" x14ac:dyDescent="0.25">
      <c r="T411" s="22"/>
      <c r="U411" s="22"/>
    </row>
    <row r="412" spans="20:21" x14ac:dyDescent="0.25">
      <c r="T412" s="22"/>
      <c r="U412" s="22"/>
    </row>
    <row r="413" spans="20:21" x14ac:dyDescent="0.25">
      <c r="T413" s="22"/>
      <c r="U413" s="22"/>
    </row>
    <row r="414" spans="20:21" x14ac:dyDescent="0.25">
      <c r="T414" s="22"/>
      <c r="U414" s="22"/>
    </row>
    <row r="415" spans="20:21" x14ac:dyDescent="0.25">
      <c r="T415" s="22"/>
      <c r="U415" s="22"/>
    </row>
    <row r="416" spans="20:21" x14ac:dyDescent="0.25">
      <c r="T416" s="22"/>
      <c r="U416" s="22"/>
    </row>
    <row r="417" spans="20:22" x14ac:dyDescent="0.25">
      <c r="T417" s="22"/>
      <c r="U417" s="22"/>
    </row>
    <row r="418" spans="20:22" x14ac:dyDescent="0.25">
      <c r="T418" s="22"/>
      <c r="U418" s="22"/>
    </row>
    <row r="419" spans="20:22" x14ac:dyDescent="0.25">
      <c r="T419" s="22"/>
      <c r="U419" s="22"/>
    </row>
    <row r="420" spans="20:22" x14ac:dyDescent="0.25">
      <c r="T420" s="22"/>
      <c r="U420" s="22"/>
    </row>
    <row r="421" spans="20:22" x14ac:dyDescent="0.25">
      <c r="T421" s="22"/>
      <c r="U421" s="22"/>
    </row>
    <row r="422" spans="20:22" x14ac:dyDescent="0.25">
      <c r="T422" s="22"/>
      <c r="U422" s="22"/>
    </row>
    <row r="423" spans="20:22" x14ac:dyDescent="0.25">
      <c r="T423" s="22"/>
      <c r="U423" s="22"/>
    </row>
    <row r="424" spans="20:22" x14ac:dyDescent="0.25">
      <c r="T424" s="22"/>
      <c r="U424" s="22"/>
    </row>
    <row r="425" spans="20:22" x14ac:dyDescent="0.25">
      <c r="T425" s="22"/>
      <c r="U425" s="22"/>
    </row>
    <row r="426" spans="20:22" x14ac:dyDescent="0.25">
      <c r="T426" s="22"/>
      <c r="U426" s="22"/>
    </row>
    <row r="427" spans="20:22" x14ac:dyDescent="0.25">
      <c r="T427" s="22"/>
      <c r="U427" s="22"/>
    </row>
    <row r="428" spans="20:22" x14ac:dyDescent="0.25">
      <c r="T428" s="22"/>
      <c r="U428" s="22"/>
    </row>
    <row r="429" spans="20:22" x14ac:dyDescent="0.25">
      <c r="T429" s="22"/>
      <c r="U429" s="22"/>
    </row>
    <row r="430" spans="20:22" x14ac:dyDescent="0.25">
      <c r="T430" s="22"/>
      <c r="U430" s="22"/>
    </row>
    <row r="431" spans="20:22" x14ac:dyDescent="0.25">
      <c r="T431" s="22"/>
      <c r="U431" s="22"/>
    </row>
    <row r="432" spans="20:22" x14ac:dyDescent="0.25">
      <c r="T432" s="23"/>
      <c r="U432" s="23"/>
      <c r="V432" s="17"/>
    </row>
    <row r="433" spans="20:22" x14ac:dyDescent="0.25">
      <c r="T433" s="23"/>
      <c r="U433" s="23"/>
      <c r="V433" s="17"/>
    </row>
    <row r="434" spans="20:22" x14ac:dyDescent="0.25">
      <c r="T434" s="23"/>
      <c r="U434" s="23"/>
      <c r="V434" s="17"/>
    </row>
    <row r="435" spans="20:22" x14ac:dyDescent="0.25">
      <c r="T435" s="23"/>
      <c r="U435" s="23"/>
      <c r="V435" s="17"/>
    </row>
    <row r="436" spans="20:22" x14ac:dyDescent="0.25">
      <c r="T436" s="23"/>
      <c r="U436" s="23"/>
      <c r="V436" s="17"/>
    </row>
    <row r="437" spans="20:22" x14ac:dyDescent="0.25">
      <c r="T437" s="23"/>
      <c r="U437" s="23"/>
      <c r="V437" s="17"/>
    </row>
    <row r="438" spans="20:22" x14ac:dyDescent="0.25">
      <c r="T438" s="23"/>
      <c r="U438" s="23"/>
      <c r="V438" s="17"/>
    </row>
    <row r="439" spans="20:22" x14ac:dyDescent="0.25">
      <c r="T439" s="22"/>
      <c r="U439" s="22"/>
    </row>
    <row r="440" spans="20:22" x14ac:dyDescent="0.25">
      <c r="T440" s="22"/>
      <c r="U440" s="22"/>
    </row>
    <row r="441" spans="20:22" x14ac:dyDescent="0.25">
      <c r="T441" s="22"/>
      <c r="U441" s="22"/>
    </row>
    <row r="442" spans="20:22" x14ac:dyDescent="0.25">
      <c r="T442" s="22"/>
      <c r="U442" s="22"/>
    </row>
    <row r="443" spans="20:22" x14ac:dyDescent="0.25">
      <c r="T443" s="22"/>
      <c r="U443" s="22"/>
    </row>
    <row r="444" spans="20:22" x14ac:dyDescent="0.25">
      <c r="T444" s="22"/>
      <c r="U444" s="22"/>
    </row>
    <row r="445" spans="20:22" x14ac:dyDescent="0.25">
      <c r="T445" s="22"/>
      <c r="U445" s="22"/>
    </row>
    <row r="446" spans="20:22" x14ac:dyDescent="0.25">
      <c r="T446" s="22"/>
      <c r="U446" s="22"/>
    </row>
    <row r="447" spans="20:22" x14ac:dyDescent="0.25">
      <c r="T447" s="22"/>
      <c r="U447" s="22"/>
    </row>
    <row r="448" spans="20:22" x14ac:dyDescent="0.25">
      <c r="T448" s="22"/>
      <c r="U448" s="22"/>
    </row>
    <row r="449" spans="20:21" x14ac:dyDescent="0.25">
      <c r="T449" s="22"/>
      <c r="U449" s="22"/>
    </row>
    <row r="450" spans="20:21" x14ac:dyDescent="0.25">
      <c r="T450" s="22"/>
      <c r="U450" s="22"/>
    </row>
    <row r="451" spans="20:21" x14ac:dyDescent="0.25">
      <c r="T451" s="22"/>
      <c r="U451" s="22"/>
    </row>
    <row r="452" spans="20:21" x14ac:dyDescent="0.25">
      <c r="T452" s="22"/>
      <c r="U452" s="22"/>
    </row>
    <row r="453" spans="20:21" x14ac:dyDescent="0.25">
      <c r="T453" s="22"/>
      <c r="U453" s="22"/>
    </row>
    <row r="454" spans="20:21" x14ac:dyDescent="0.25">
      <c r="T454" s="22"/>
      <c r="U454" s="22"/>
    </row>
    <row r="455" spans="20:21" x14ac:dyDescent="0.25">
      <c r="T455" s="22"/>
      <c r="U455" s="22"/>
    </row>
    <row r="456" spans="20:21" x14ac:dyDescent="0.25">
      <c r="T456" s="22"/>
      <c r="U456" s="22"/>
    </row>
    <row r="457" spans="20:21" x14ac:dyDescent="0.25">
      <c r="T457" s="22"/>
      <c r="U457" s="22"/>
    </row>
    <row r="458" spans="20:21" x14ac:dyDescent="0.25">
      <c r="T458" s="22"/>
      <c r="U458" s="22"/>
    </row>
    <row r="459" spans="20:21" x14ac:dyDescent="0.25">
      <c r="T459" s="22"/>
      <c r="U459" s="22"/>
    </row>
    <row r="460" spans="20:21" x14ac:dyDescent="0.25">
      <c r="T460" s="22"/>
      <c r="U460" s="22"/>
    </row>
    <row r="461" spans="20:21" x14ac:dyDescent="0.25">
      <c r="T461" s="22"/>
      <c r="U461" s="22"/>
    </row>
    <row r="462" spans="20:21" x14ac:dyDescent="0.25">
      <c r="T462" s="22"/>
      <c r="U462" s="22"/>
    </row>
    <row r="463" spans="20:21" x14ac:dyDescent="0.25">
      <c r="T463" s="22"/>
      <c r="U463" s="22"/>
    </row>
    <row r="464" spans="20:21" x14ac:dyDescent="0.25">
      <c r="T464" s="22"/>
      <c r="U464" s="22"/>
    </row>
    <row r="465" spans="20:22" x14ac:dyDescent="0.25">
      <c r="T465" s="22"/>
      <c r="U465" s="22"/>
    </row>
    <row r="466" spans="20:22" x14ac:dyDescent="0.25">
      <c r="T466" s="22"/>
      <c r="U466" s="22"/>
    </row>
    <row r="467" spans="20:22" x14ac:dyDescent="0.25">
      <c r="T467" s="23"/>
      <c r="U467" s="23"/>
      <c r="V467" s="17"/>
    </row>
    <row r="468" spans="20:22" x14ac:dyDescent="0.25">
      <c r="T468" s="23"/>
      <c r="U468" s="23"/>
      <c r="V468" s="17"/>
    </row>
    <row r="469" spans="20:22" x14ac:dyDescent="0.25">
      <c r="T469" s="23"/>
      <c r="U469" s="23"/>
      <c r="V469" s="17"/>
    </row>
    <row r="470" spans="20:22" x14ac:dyDescent="0.25">
      <c r="T470" s="23"/>
      <c r="U470" s="23"/>
      <c r="V470" s="17"/>
    </row>
    <row r="471" spans="20:22" x14ac:dyDescent="0.25">
      <c r="T471" s="23"/>
      <c r="U471" s="23"/>
      <c r="V471" s="17"/>
    </row>
    <row r="472" spans="20:22" x14ac:dyDescent="0.25">
      <c r="T472" s="23"/>
      <c r="U472" s="23"/>
      <c r="V472" s="17"/>
    </row>
    <row r="473" spans="20:22" x14ac:dyDescent="0.25">
      <c r="T473" s="23"/>
      <c r="U473" s="23"/>
      <c r="V473" s="17"/>
    </row>
    <row r="474" spans="20:22" x14ac:dyDescent="0.25">
      <c r="T474" s="22"/>
      <c r="U474" s="22"/>
    </row>
    <row r="475" spans="20:22" x14ac:dyDescent="0.25">
      <c r="T475" s="22"/>
      <c r="U475" s="22"/>
    </row>
    <row r="476" spans="20:22" x14ac:dyDescent="0.25">
      <c r="T476" s="22"/>
      <c r="U476" s="22"/>
    </row>
    <row r="477" spans="20:22" x14ac:dyDescent="0.25">
      <c r="T477" s="22"/>
      <c r="U477" s="22"/>
    </row>
    <row r="478" spans="20:22" x14ac:dyDescent="0.25">
      <c r="T478" s="22"/>
      <c r="U478" s="22"/>
    </row>
    <row r="479" spans="20:22" x14ac:dyDescent="0.25">
      <c r="T479" s="22"/>
      <c r="U479" s="22"/>
    </row>
    <row r="480" spans="20:22" x14ac:dyDescent="0.25">
      <c r="T480" s="22"/>
      <c r="U480" s="22"/>
    </row>
    <row r="481" spans="20:21" x14ac:dyDescent="0.25">
      <c r="T481" s="22"/>
      <c r="U481" s="22"/>
    </row>
    <row r="482" spans="20:21" x14ac:dyDescent="0.25">
      <c r="T482" s="22"/>
      <c r="U482" s="22"/>
    </row>
    <row r="483" spans="20:21" x14ac:dyDescent="0.25">
      <c r="T483" s="22"/>
      <c r="U483" s="22"/>
    </row>
    <row r="484" spans="20:21" x14ac:dyDescent="0.25">
      <c r="T484" s="22"/>
      <c r="U484" s="22"/>
    </row>
    <row r="485" spans="20:21" x14ac:dyDescent="0.25">
      <c r="T485" s="22"/>
      <c r="U485" s="22"/>
    </row>
    <row r="486" spans="20:21" x14ac:dyDescent="0.25">
      <c r="T486" s="22"/>
      <c r="U486" s="22"/>
    </row>
    <row r="487" spans="20:21" x14ac:dyDescent="0.25">
      <c r="T487" s="22"/>
      <c r="U487" s="22"/>
    </row>
    <row r="488" spans="20:21" x14ac:dyDescent="0.25">
      <c r="T488" s="22"/>
      <c r="U488" s="22"/>
    </row>
    <row r="489" spans="20:21" x14ac:dyDescent="0.25">
      <c r="T489" s="22"/>
      <c r="U489" s="22"/>
    </row>
    <row r="490" spans="20:21" x14ac:dyDescent="0.25">
      <c r="T490" s="22"/>
      <c r="U490" s="22"/>
    </row>
    <row r="491" spans="20:21" x14ac:dyDescent="0.25">
      <c r="T491" s="22"/>
      <c r="U491" s="22"/>
    </row>
    <row r="492" spans="20:21" x14ac:dyDescent="0.25">
      <c r="T492" s="22"/>
      <c r="U492" s="22"/>
    </row>
    <row r="493" spans="20:21" x14ac:dyDescent="0.25">
      <c r="T493" s="22"/>
      <c r="U493" s="22"/>
    </row>
    <row r="494" spans="20:21" x14ac:dyDescent="0.25">
      <c r="T494" s="22"/>
      <c r="U494" s="22"/>
    </row>
    <row r="495" spans="20:21" x14ac:dyDescent="0.25">
      <c r="T495" s="22"/>
      <c r="U495" s="22"/>
    </row>
    <row r="496" spans="20:21" x14ac:dyDescent="0.25">
      <c r="T496" s="22"/>
      <c r="U496" s="22"/>
    </row>
    <row r="497" spans="20:21" x14ac:dyDescent="0.25">
      <c r="T497" s="22"/>
      <c r="U497" s="22"/>
    </row>
    <row r="498" spans="20:21" x14ac:dyDescent="0.25">
      <c r="T498" s="22"/>
      <c r="U498" s="22"/>
    </row>
    <row r="499" spans="20:21" x14ac:dyDescent="0.25">
      <c r="T499" s="22"/>
      <c r="U499" s="22"/>
    </row>
    <row r="500" spans="20:21" x14ac:dyDescent="0.25">
      <c r="T500" s="22"/>
      <c r="U500" s="22"/>
    </row>
    <row r="501" spans="20:21" x14ac:dyDescent="0.25">
      <c r="T501" s="22"/>
      <c r="U501" s="22"/>
    </row>
    <row r="502" spans="20:21" x14ac:dyDescent="0.25">
      <c r="T502" s="22"/>
      <c r="U502" s="22"/>
    </row>
    <row r="503" spans="20:21" x14ac:dyDescent="0.25">
      <c r="T503" s="22"/>
      <c r="U503" s="22"/>
    </row>
    <row r="504" spans="20:21" x14ac:dyDescent="0.25">
      <c r="T504" s="22"/>
      <c r="U504" s="22"/>
    </row>
    <row r="505" spans="20:21" x14ac:dyDescent="0.25">
      <c r="T505" s="22"/>
      <c r="U505" s="22"/>
    </row>
    <row r="506" spans="20:21" x14ac:dyDescent="0.25">
      <c r="T506" s="22"/>
      <c r="U506" s="22"/>
    </row>
    <row r="507" spans="20:21" x14ac:dyDescent="0.25">
      <c r="T507" s="22"/>
      <c r="U507" s="22"/>
    </row>
    <row r="508" spans="20:21" x14ac:dyDescent="0.25">
      <c r="T508" s="22"/>
      <c r="U508" s="22"/>
    </row>
    <row r="509" spans="20:21" x14ac:dyDescent="0.25">
      <c r="T509" s="22"/>
      <c r="U509" s="22"/>
    </row>
    <row r="510" spans="20:21" x14ac:dyDescent="0.25">
      <c r="T510" s="22"/>
      <c r="U510" s="22"/>
    </row>
    <row r="511" spans="20:21" x14ac:dyDescent="0.25">
      <c r="T511" s="22"/>
      <c r="U511" s="22"/>
    </row>
    <row r="512" spans="20:21" x14ac:dyDescent="0.25">
      <c r="T512" s="22"/>
      <c r="U512" s="22"/>
    </row>
    <row r="513" spans="20:21" x14ac:dyDescent="0.25">
      <c r="T513" s="22"/>
      <c r="U513" s="22"/>
    </row>
    <row r="514" spans="20:21" x14ac:dyDescent="0.25">
      <c r="T514" s="22"/>
      <c r="U514" s="22"/>
    </row>
    <row r="515" spans="20:21" x14ac:dyDescent="0.25">
      <c r="T515" s="22"/>
      <c r="U515" s="22"/>
    </row>
    <row r="516" spans="20:21" x14ac:dyDescent="0.25">
      <c r="T516" s="22"/>
      <c r="U516" s="22"/>
    </row>
    <row r="517" spans="20:21" x14ac:dyDescent="0.25">
      <c r="T517" s="22"/>
      <c r="U517" s="22"/>
    </row>
    <row r="518" spans="20:21" x14ac:dyDescent="0.25">
      <c r="T518" s="22"/>
      <c r="U518" s="22"/>
    </row>
    <row r="519" spans="20:21" x14ac:dyDescent="0.25">
      <c r="T519" s="22"/>
      <c r="U519" s="22"/>
    </row>
    <row r="520" spans="20:21" x14ac:dyDescent="0.25">
      <c r="T520" s="22"/>
      <c r="U520" s="22"/>
    </row>
    <row r="521" spans="20:21" x14ac:dyDescent="0.25">
      <c r="T521" s="22"/>
      <c r="U521" s="22"/>
    </row>
    <row r="522" spans="20:21" x14ac:dyDescent="0.25">
      <c r="T522" s="22"/>
      <c r="U522" s="22"/>
    </row>
    <row r="523" spans="20:21" x14ac:dyDescent="0.25">
      <c r="T523" s="23"/>
      <c r="U523" s="23"/>
    </row>
    <row r="524" spans="20:21" x14ac:dyDescent="0.25">
      <c r="T524" s="23"/>
      <c r="U524" s="23"/>
    </row>
    <row r="525" spans="20:21" x14ac:dyDescent="0.25">
      <c r="T525" s="23"/>
      <c r="U525" s="23"/>
    </row>
    <row r="526" spans="20:21" x14ac:dyDescent="0.25">
      <c r="T526" s="23"/>
      <c r="U526" s="23"/>
    </row>
    <row r="527" spans="20:21" x14ac:dyDescent="0.25">
      <c r="T527" s="23"/>
      <c r="U527" s="23"/>
    </row>
    <row r="528" spans="20:21" x14ac:dyDescent="0.25">
      <c r="T528" s="23"/>
      <c r="U528" s="23"/>
    </row>
    <row r="529" spans="20:22" x14ac:dyDescent="0.25">
      <c r="T529" s="23"/>
      <c r="U529" s="23"/>
    </row>
    <row r="530" spans="20:22" x14ac:dyDescent="0.25">
      <c r="T530" s="23"/>
      <c r="U530" s="23"/>
      <c r="V530" s="17"/>
    </row>
    <row r="531" spans="20:22" x14ac:dyDescent="0.25">
      <c r="T531" s="23"/>
      <c r="U531" s="23"/>
      <c r="V531" s="17"/>
    </row>
    <row r="532" spans="20:22" x14ac:dyDescent="0.25">
      <c r="T532" s="23"/>
      <c r="U532" s="23"/>
      <c r="V532" s="17"/>
    </row>
    <row r="533" spans="20:22" x14ac:dyDescent="0.25">
      <c r="T533" s="23"/>
      <c r="U533" s="23"/>
      <c r="V533" s="17"/>
    </row>
    <row r="534" spans="20:22" x14ac:dyDescent="0.25">
      <c r="T534" s="23"/>
      <c r="U534" s="23"/>
      <c r="V534" s="17"/>
    </row>
    <row r="535" spans="20:22" x14ac:dyDescent="0.25">
      <c r="T535" s="23"/>
      <c r="U535" s="23"/>
      <c r="V535" s="17"/>
    </row>
    <row r="536" spans="20:22" x14ac:dyDescent="0.25">
      <c r="T536" s="23"/>
      <c r="U536" s="23"/>
      <c r="V536" s="17"/>
    </row>
    <row r="537" spans="20:22" x14ac:dyDescent="0.25">
      <c r="T537" s="23"/>
      <c r="U537" s="23"/>
      <c r="V537" s="17"/>
    </row>
    <row r="538" spans="20:22" x14ac:dyDescent="0.25">
      <c r="T538" s="23"/>
      <c r="U538" s="23"/>
      <c r="V538" s="17"/>
    </row>
    <row r="539" spans="20:22" x14ac:dyDescent="0.25">
      <c r="T539" s="23"/>
      <c r="U539" s="23"/>
      <c r="V539" s="17"/>
    </row>
    <row r="540" spans="20:22" x14ac:dyDescent="0.25">
      <c r="T540" s="23"/>
      <c r="U540" s="23"/>
      <c r="V540" s="17"/>
    </row>
    <row r="541" spans="20:22" x14ac:dyDescent="0.25">
      <c r="T541" s="23"/>
      <c r="U541" s="23"/>
      <c r="V541" s="17"/>
    </row>
    <row r="542" spans="20:22" x14ac:dyDescent="0.25">
      <c r="T542" s="23"/>
      <c r="U542" s="23"/>
      <c r="V542" s="17"/>
    </row>
    <row r="543" spans="20:22" x14ac:dyDescent="0.25">
      <c r="T543" s="23"/>
      <c r="U543" s="23"/>
      <c r="V543" s="17"/>
    </row>
    <row r="544" spans="20:22" x14ac:dyDescent="0.25">
      <c r="T544" s="23"/>
      <c r="U544" s="23"/>
      <c r="V544" s="17"/>
    </row>
    <row r="545" spans="3:22" x14ac:dyDescent="0.25">
      <c r="T545" s="23"/>
      <c r="U545" s="23"/>
      <c r="V545" s="17"/>
    </row>
    <row r="546" spans="3:22" x14ac:dyDescent="0.25">
      <c r="T546" s="23"/>
      <c r="U546" s="23"/>
      <c r="V546" s="17"/>
    </row>
    <row r="547" spans="3:22" x14ac:dyDescent="0.25">
      <c r="T547" s="23"/>
      <c r="U547" s="23"/>
      <c r="V547" s="17"/>
    </row>
    <row r="548" spans="3:22" x14ac:dyDescent="0.25">
      <c r="T548" s="23"/>
      <c r="U548" s="23"/>
      <c r="V548" s="17"/>
    </row>
    <row r="549" spans="3:22" x14ac:dyDescent="0.25">
      <c r="T549" s="23"/>
      <c r="U549" s="23"/>
      <c r="V549" s="17"/>
    </row>
    <row r="550" spans="3:22" x14ac:dyDescent="0.25">
      <c r="T550" s="23"/>
      <c r="U550" s="23"/>
      <c r="V550" s="17"/>
    </row>
    <row r="551" spans="3:22" x14ac:dyDescent="0.25">
      <c r="T551" s="22"/>
      <c r="U551" s="22"/>
    </row>
    <row r="552" spans="3:22" x14ac:dyDescent="0.25">
      <c r="T552" s="22"/>
      <c r="U552" s="22"/>
    </row>
    <row r="553" spans="3:22" x14ac:dyDescent="0.25">
      <c r="T553" s="22"/>
      <c r="U553" s="22"/>
    </row>
    <row r="554" spans="3:22" x14ac:dyDescent="0.25">
      <c r="T554" s="22"/>
      <c r="U554" s="22"/>
    </row>
    <row r="555" spans="3:22" x14ac:dyDescent="0.25">
      <c r="T555" s="22"/>
      <c r="U555" s="22"/>
    </row>
    <row r="556" spans="3:22" x14ac:dyDescent="0.25">
      <c r="T556" s="22"/>
      <c r="U556" s="22"/>
    </row>
    <row r="557" spans="3:22" x14ac:dyDescent="0.25">
      <c r="T557" s="22"/>
      <c r="U557" s="22"/>
    </row>
    <row r="558" spans="3:22" x14ac:dyDescent="0.25">
      <c r="C558" s="40"/>
      <c r="D558" s="40"/>
      <c r="E558" s="40"/>
      <c r="F558" s="42"/>
    </row>
    <row r="559" spans="3:22" x14ac:dyDescent="0.25">
      <c r="C559" s="40"/>
      <c r="D559" s="40"/>
      <c r="E559" s="40"/>
      <c r="F559" s="42"/>
    </row>
    <row r="560" spans="3:22" x14ac:dyDescent="0.25">
      <c r="C560" s="40"/>
      <c r="D560" s="40"/>
      <c r="E560" s="40"/>
      <c r="F560" s="42"/>
    </row>
    <row r="561" spans="3:6" x14ac:dyDescent="0.25">
      <c r="C561" s="40"/>
      <c r="D561" s="40"/>
      <c r="E561" s="40"/>
      <c r="F561" s="42"/>
    </row>
    <row r="562" spans="3:6" x14ac:dyDescent="0.25">
      <c r="C562" s="40"/>
      <c r="D562" s="40"/>
      <c r="E562" s="40"/>
      <c r="F562" s="42"/>
    </row>
    <row r="563" spans="3:6" x14ac:dyDescent="0.25">
      <c r="C563" s="40"/>
      <c r="D563" s="40"/>
      <c r="E563" s="40"/>
      <c r="F563" s="42"/>
    </row>
    <row r="564" spans="3:6" x14ac:dyDescent="0.25">
      <c r="C564" s="40"/>
      <c r="D564" s="40"/>
      <c r="E564" s="40"/>
      <c r="F564" s="42"/>
    </row>
    <row r="565" spans="3:6" x14ac:dyDescent="0.25">
      <c r="C565" s="40"/>
      <c r="D565" s="40"/>
      <c r="E565" s="40"/>
      <c r="F565" s="42"/>
    </row>
    <row r="566" spans="3:6" x14ac:dyDescent="0.25">
      <c r="C566" s="40"/>
      <c r="D566" s="40"/>
      <c r="E566" s="40"/>
      <c r="F566" s="42"/>
    </row>
    <row r="567" spans="3:6" x14ac:dyDescent="0.25">
      <c r="C567" s="40"/>
      <c r="D567" s="40"/>
      <c r="E567" s="40"/>
      <c r="F567" s="42"/>
    </row>
    <row r="568" spans="3:6" x14ac:dyDescent="0.25">
      <c r="C568" s="40"/>
      <c r="D568" s="40"/>
      <c r="E568" s="40"/>
      <c r="F568" s="42"/>
    </row>
    <row r="569" spans="3:6" x14ac:dyDescent="0.25">
      <c r="C569" s="40"/>
      <c r="D569" s="40"/>
      <c r="E569" s="40"/>
      <c r="F569" s="42"/>
    </row>
    <row r="570" spans="3:6" x14ac:dyDescent="0.25">
      <c r="C570" s="40"/>
      <c r="D570" s="40"/>
      <c r="E570" s="40"/>
      <c r="F570" s="42"/>
    </row>
    <row r="571" spans="3:6" x14ac:dyDescent="0.25">
      <c r="C571" s="40"/>
      <c r="D571" s="40"/>
      <c r="E571" s="40"/>
      <c r="F571" s="42"/>
    </row>
    <row r="572" spans="3:6" x14ac:dyDescent="0.25">
      <c r="C572" s="40"/>
      <c r="D572" s="40"/>
      <c r="E572" s="40"/>
      <c r="F572" s="42"/>
    </row>
    <row r="573" spans="3:6" x14ac:dyDescent="0.25">
      <c r="C573" s="40"/>
      <c r="D573" s="40"/>
      <c r="E573" s="40"/>
      <c r="F573" s="42"/>
    </row>
    <row r="574" spans="3:6" x14ac:dyDescent="0.25">
      <c r="C574" s="40"/>
      <c r="D574" s="40"/>
      <c r="E574" s="40"/>
      <c r="F574" s="42"/>
    </row>
    <row r="575" spans="3:6" x14ac:dyDescent="0.25">
      <c r="C575" s="40"/>
      <c r="D575" s="40"/>
      <c r="E575" s="40"/>
      <c r="F575" s="42"/>
    </row>
    <row r="576" spans="3:6" x14ac:dyDescent="0.25">
      <c r="C576" s="40"/>
      <c r="D576" s="40"/>
      <c r="E576" s="40"/>
      <c r="F576" s="42"/>
    </row>
    <row r="577" spans="3:6" x14ac:dyDescent="0.25">
      <c r="C577" s="40"/>
      <c r="D577" s="40"/>
      <c r="E577" s="40"/>
      <c r="F577" s="42"/>
    </row>
    <row r="578" spans="3:6" x14ac:dyDescent="0.25">
      <c r="C578" s="40"/>
      <c r="D578" s="40"/>
      <c r="E578" s="40"/>
      <c r="F578" s="42"/>
    </row>
    <row r="579" spans="3:6" x14ac:dyDescent="0.25">
      <c r="C579" s="40"/>
      <c r="D579" s="40"/>
      <c r="E579" s="40"/>
      <c r="F579" s="42"/>
    </row>
    <row r="580" spans="3:6" x14ac:dyDescent="0.25">
      <c r="C580" s="40"/>
      <c r="D580" s="40"/>
      <c r="E580" s="40"/>
      <c r="F580" s="42"/>
    </row>
    <row r="581" spans="3:6" x14ac:dyDescent="0.25">
      <c r="C581" s="40"/>
      <c r="D581" s="40"/>
      <c r="E581" s="40"/>
      <c r="F581" s="42"/>
    </row>
    <row r="582" spans="3:6" x14ac:dyDescent="0.25">
      <c r="C582" s="40"/>
      <c r="D582" s="40"/>
      <c r="E582" s="40"/>
      <c r="F582" s="42"/>
    </row>
    <row r="583" spans="3:6" x14ac:dyDescent="0.25">
      <c r="C583" s="40"/>
      <c r="D583" s="40"/>
      <c r="E583" s="40"/>
      <c r="F583" s="42"/>
    </row>
    <row r="584" spans="3:6" x14ac:dyDescent="0.25">
      <c r="C584" s="40"/>
      <c r="D584" s="40"/>
      <c r="E584" s="40"/>
      <c r="F584" s="42"/>
    </row>
    <row r="585" spans="3:6" x14ac:dyDescent="0.25">
      <c r="C585" s="40"/>
      <c r="D585" s="40"/>
      <c r="E585" s="40"/>
      <c r="F585" s="42"/>
    </row>
    <row r="586" spans="3:6" x14ac:dyDescent="0.25">
      <c r="C586" s="40"/>
      <c r="D586" s="40"/>
      <c r="E586" s="40"/>
      <c r="F586" s="42"/>
    </row>
    <row r="587" spans="3:6" x14ac:dyDescent="0.25">
      <c r="C587" s="40"/>
      <c r="D587" s="40"/>
      <c r="E587" s="40"/>
      <c r="F587" s="42"/>
    </row>
    <row r="588" spans="3:6" x14ac:dyDescent="0.25">
      <c r="C588" s="40"/>
      <c r="D588" s="40"/>
      <c r="E588" s="40"/>
      <c r="F588" s="42"/>
    </row>
    <row r="589" spans="3:6" x14ac:dyDescent="0.25">
      <c r="C589" s="40"/>
      <c r="D589" s="40"/>
      <c r="E589" s="40"/>
      <c r="F589" s="42"/>
    </row>
    <row r="590" spans="3:6" x14ac:dyDescent="0.25">
      <c r="C590" s="40"/>
      <c r="D590" s="40"/>
      <c r="E590" s="40"/>
      <c r="F590" s="42"/>
    </row>
    <row r="591" spans="3:6" x14ac:dyDescent="0.25">
      <c r="C591" s="40"/>
      <c r="D591" s="40"/>
      <c r="E591" s="40"/>
      <c r="F591" s="42"/>
    </row>
    <row r="592" spans="3:6" x14ac:dyDescent="0.25">
      <c r="C592" s="40"/>
      <c r="D592" s="40"/>
      <c r="E592" s="40"/>
      <c r="F592" s="42"/>
    </row>
    <row r="593" spans="3:6" x14ac:dyDescent="0.25">
      <c r="C593" s="40"/>
      <c r="D593" s="40"/>
      <c r="E593" s="40"/>
      <c r="F593" s="42"/>
    </row>
    <row r="594" spans="3:6" x14ac:dyDescent="0.25">
      <c r="C594" s="40"/>
      <c r="D594" s="40"/>
      <c r="E594" s="40"/>
      <c r="F594" s="42"/>
    </row>
    <row r="595" spans="3:6" x14ac:dyDescent="0.25">
      <c r="C595" s="40"/>
      <c r="D595" s="40"/>
      <c r="E595" s="40"/>
      <c r="F595" s="42"/>
    </row>
  </sheetData>
  <sheetProtection password="CA81" sheet="1" objects="1" scenarios="1" formatCells="0" insertHyperlinks="0" autoFilter="0"/>
  <autoFilter ref="A4:V44" xr:uid="{00000000-0009-0000-0000-000002000000}">
    <filterColumn colId="2"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dataConsolidate/>
  <mergeCells count="26">
    <mergeCell ref="G21:G24"/>
    <mergeCell ref="H21:H24"/>
    <mergeCell ref="G25:G28"/>
    <mergeCell ref="H25:H28"/>
    <mergeCell ref="G41:G44"/>
    <mergeCell ref="H41:H44"/>
    <mergeCell ref="G29:G32"/>
    <mergeCell ref="H29:H32"/>
    <mergeCell ref="G33:G36"/>
    <mergeCell ref="H33:H36"/>
    <mergeCell ref="G37:G40"/>
    <mergeCell ref="H37:H40"/>
    <mergeCell ref="G17:G20"/>
    <mergeCell ref="H17:H20"/>
    <mergeCell ref="G9:G12"/>
    <mergeCell ref="H9:H12"/>
    <mergeCell ref="G13:G16"/>
    <mergeCell ref="H13:H16"/>
    <mergeCell ref="G5:G8"/>
    <mergeCell ref="H5:H8"/>
    <mergeCell ref="A1:F1"/>
    <mergeCell ref="G1:H3"/>
    <mergeCell ref="A3:A4"/>
    <mergeCell ref="B3:B4"/>
    <mergeCell ref="C3:C4"/>
    <mergeCell ref="D3:E3"/>
  </mergeCells>
  <dataValidations count="1">
    <dataValidation type="date" operator="greaterThan" allowBlank="1" showInputMessage="1" showErrorMessage="1" errorTitle="Date Format" error="mm/dd/yyyy" promptTitle="Date Format" prompt="mm/dd/yyyy" sqref="F5:F12 F17:F44" xr:uid="{00000000-0002-0000-0200-000000000000}">
      <formula1>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Validation!$H$2:$H$7</xm:f>
          </x14:formula1>
          <xm:sqref>D5:E44</xm:sqref>
        </x14:dataValidation>
        <x14:dataValidation type="list" allowBlank="1" showInputMessage="1" showErrorMessage="1" error="Select value from the dropdown!" prompt="Click dropdown arrow to change State ID." xr:uid="{00000000-0002-0000-0200-000002000000}">
          <x14:formula1>
            <xm:f>Validation!$G$2:$G$57</xm:f>
          </x14:formula1>
          <xm:sqref>D2</xm:sqref>
        </x14:dataValidation>
        <x14:dataValidation type="list" allowBlank="1" showInputMessage="1" showErrorMessage="1" error="Select value from the dropdown!" prompt="Click dropdown arrow to change Program Name." xr:uid="{00000000-0002-0000-0200-000003000000}">
          <x14:formula1>
            <xm:f>Validation!$J$2:$J$4</xm:f>
          </x14:formula1>
          <xm:sqref>B2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W586"/>
  <sheetViews>
    <sheetView showGridLines="0" zoomScale="80" zoomScaleNormal="80" workbookViewId="0">
      <pane ySplit="4" topLeftCell="A5" activePane="bottomLeft" state="frozen"/>
      <selection pane="bottomLeft" activeCell="K8" sqref="K8"/>
    </sheetView>
  </sheetViews>
  <sheetFormatPr defaultRowHeight="15" x14ac:dyDescent="0.25"/>
  <cols>
    <col min="1" max="1" width="29.140625" customWidth="1"/>
    <col min="2" max="2" width="30.7109375" customWidth="1"/>
    <col min="3" max="3" width="29.28515625" customWidth="1"/>
    <col min="4" max="4" width="52.5703125" customWidth="1"/>
    <col min="5" max="6" width="9.7109375" customWidth="1"/>
    <col min="7" max="7" width="16.28515625" style="1" customWidth="1"/>
    <col min="8" max="9" width="8.7109375" customWidth="1"/>
    <col min="10" max="19" width="9.140625" style="40"/>
    <col min="20" max="20" width="9.140625" style="16" hidden="1" customWidth="1"/>
    <col min="21" max="21" width="9.7109375" style="16" hidden="1" customWidth="1"/>
    <col min="22" max="22" width="9.140625" style="16" hidden="1" customWidth="1"/>
    <col min="23" max="23" width="9.140625" style="16"/>
  </cols>
  <sheetData>
    <row r="1" spans="1:22" ht="54" customHeight="1" x14ac:dyDescent="0.25">
      <c r="A1" s="278" t="s">
        <v>229</v>
      </c>
      <c r="B1" s="279"/>
      <c r="C1" s="279"/>
      <c r="D1" s="279"/>
      <c r="E1" s="279"/>
      <c r="F1" s="279"/>
      <c r="G1" s="280"/>
      <c r="H1" s="281" t="s">
        <v>222</v>
      </c>
      <c r="I1" s="282"/>
    </row>
    <row r="2" spans="1:22" ht="26.1" customHeight="1" x14ac:dyDescent="0.25">
      <c r="A2" s="9" t="s">
        <v>221</v>
      </c>
      <c r="B2" s="207" t="str">
        <f>'IA-Scorecard'!B2</f>
        <v>Enterprise</v>
      </c>
      <c r="C2" s="44" t="s">
        <v>232</v>
      </c>
      <c r="D2" s="207" t="str">
        <f>'IA-Scorecard'!D2</f>
        <v>OH</v>
      </c>
      <c r="E2" s="45"/>
      <c r="F2" s="11"/>
      <c r="G2" s="12"/>
      <c r="H2" s="260"/>
      <c r="I2" s="283"/>
    </row>
    <row r="3" spans="1:22" ht="39" customHeight="1" x14ac:dyDescent="0.25">
      <c r="A3" s="270" t="s">
        <v>212</v>
      </c>
      <c r="B3" s="292" t="s">
        <v>6</v>
      </c>
      <c r="C3" s="270" t="s">
        <v>41</v>
      </c>
      <c r="D3" s="270" t="s">
        <v>42</v>
      </c>
      <c r="E3" s="285" t="s">
        <v>223</v>
      </c>
      <c r="F3" s="286"/>
      <c r="G3" s="13" t="s">
        <v>217</v>
      </c>
      <c r="H3" s="262"/>
      <c r="I3" s="284"/>
    </row>
    <row r="4" spans="1:22" ht="27" customHeight="1" thickBot="1" x14ac:dyDescent="0.3">
      <c r="A4" s="271"/>
      <c r="B4" s="293"/>
      <c r="C4" s="271"/>
      <c r="D4" s="271"/>
      <c r="E4" s="43" t="s">
        <v>213</v>
      </c>
      <c r="F4" s="43" t="s">
        <v>215</v>
      </c>
      <c r="G4" s="29" t="s">
        <v>218</v>
      </c>
      <c r="H4" s="8" t="s">
        <v>216</v>
      </c>
      <c r="I4" s="8" t="s">
        <v>215</v>
      </c>
    </row>
    <row r="5" spans="1:22" ht="30.75" thickTop="1" x14ac:dyDescent="0.25">
      <c r="A5" s="143" t="s">
        <v>135</v>
      </c>
      <c r="B5" s="46" t="s">
        <v>7</v>
      </c>
      <c r="C5" s="46" t="s">
        <v>8</v>
      </c>
      <c r="D5" s="63"/>
      <c r="E5" s="30">
        <v>1</v>
      </c>
      <c r="F5" s="30">
        <v>2</v>
      </c>
      <c r="G5" s="84">
        <v>42156</v>
      </c>
      <c r="H5" s="287" t="str">
        <f>CONCATENATE("Level"," ",MIN(E5:E19))</f>
        <v>Level 1</v>
      </c>
      <c r="I5" s="289" t="str">
        <f>CONCATENATE("Level"," ",MIN(F5:F19))</f>
        <v>Level 1</v>
      </c>
      <c r="T5" s="24" t="s">
        <v>244</v>
      </c>
      <c r="U5" s="24" t="s">
        <v>209</v>
      </c>
      <c r="V5" s="24"/>
    </row>
    <row r="6" spans="1:22" ht="30" x14ac:dyDescent="0.25">
      <c r="A6" s="144" t="s">
        <v>135</v>
      </c>
      <c r="B6" s="47" t="s">
        <v>7</v>
      </c>
      <c r="C6" s="47" t="s">
        <v>9</v>
      </c>
      <c r="D6" s="105"/>
      <c r="E6" s="26">
        <v>1</v>
      </c>
      <c r="F6" s="26">
        <v>1</v>
      </c>
      <c r="G6" s="85">
        <v>42156</v>
      </c>
      <c r="H6" s="250"/>
      <c r="I6" s="290"/>
      <c r="T6" s="24" t="s">
        <v>244</v>
      </c>
      <c r="U6" s="24" t="s">
        <v>209</v>
      </c>
      <c r="V6" s="24"/>
    </row>
    <row r="7" spans="1:22" ht="30" x14ac:dyDescent="0.25">
      <c r="A7" s="144" t="s">
        <v>135</v>
      </c>
      <c r="B7" s="47" t="s">
        <v>7</v>
      </c>
      <c r="C7" s="47" t="s">
        <v>10</v>
      </c>
      <c r="D7" s="105"/>
      <c r="E7" s="26">
        <v>2</v>
      </c>
      <c r="F7" s="26">
        <v>3</v>
      </c>
      <c r="G7" s="85">
        <v>42156</v>
      </c>
      <c r="H7" s="250"/>
      <c r="I7" s="290"/>
      <c r="T7" s="24" t="s">
        <v>244</v>
      </c>
      <c r="U7" s="24" t="s">
        <v>209</v>
      </c>
      <c r="V7" s="24"/>
    </row>
    <row r="8" spans="1:22" ht="30" x14ac:dyDescent="0.25">
      <c r="A8" s="144" t="s">
        <v>135</v>
      </c>
      <c r="B8" s="47" t="s">
        <v>7</v>
      </c>
      <c r="C8" s="47" t="s">
        <v>11</v>
      </c>
      <c r="D8" s="105"/>
      <c r="E8" s="26">
        <v>1</v>
      </c>
      <c r="F8" s="26">
        <v>1</v>
      </c>
      <c r="G8" s="85">
        <v>42156</v>
      </c>
      <c r="H8" s="250"/>
      <c r="I8" s="290"/>
      <c r="T8" s="24" t="s">
        <v>244</v>
      </c>
      <c r="U8" s="24" t="s">
        <v>209</v>
      </c>
      <c r="V8" s="24"/>
    </row>
    <row r="9" spans="1:22" ht="30.75" thickBot="1" x14ac:dyDescent="0.3">
      <c r="A9" s="145" t="s">
        <v>135</v>
      </c>
      <c r="B9" s="48" t="s">
        <v>7</v>
      </c>
      <c r="C9" s="48" t="s">
        <v>12</v>
      </c>
      <c r="D9" s="106"/>
      <c r="E9" s="31">
        <v>2</v>
      </c>
      <c r="F9" s="31">
        <v>2</v>
      </c>
      <c r="G9" s="86">
        <v>42156</v>
      </c>
      <c r="H9" s="250"/>
      <c r="I9" s="290"/>
      <c r="T9" s="24" t="s">
        <v>244</v>
      </c>
      <c r="U9" s="24" t="s">
        <v>209</v>
      </c>
      <c r="V9" s="24"/>
    </row>
    <row r="10" spans="1:22" ht="30.75" thickTop="1" x14ac:dyDescent="0.25">
      <c r="A10" s="146" t="s">
        <v>135</v>
      </c>
      <c r="B10" s="49" t="s">
        <v>224</v>
      </c>
      <c r="C10" s="49" t="s">
        <v>13</v>
      </c>
      <c r="D10" s="107"/>
      <c r="E10" s="65">
        <v>2</v>
      </c>
      <c r="F10" s="65">
        <v>2</v>
      </c>
      <c r="G10" s="88">
        <v>42156</v>
      </c>
      <c r="H10" s="250"/>
      <c r="I10" s="290"/>
      <c r="T10" s="24" t="s">
        <v>244</v>
      </c>
      <c r="U10" s="24" t="s">
        <v>209</v>
      </c>
      <c r="V10" s="24"/>
    </row>
    <row r="11" spans="1:22" ht="30" x14ac:dyDescent="0.25">
      <c r="A11" s="147" t="s">
        <v>135</v>
      </c>
      <c r="B11" s="50" t="s">
        <v>224</v>
      </c>
      <c r="C11" s="50" t="s">
        <v>14</v>
      </c>
      <c r="D11" s="108"/>
      <c r="E11" s="66">
        <v>2</v>
      </c>
      <c r="F11" s="66">
        <v>2</v>
      </c>
      <c r="G11" s="88">
        <v>42156</v>
      </c>
      <c r="H11" s="250"/>
      <c r="I11" s="290"/>
      <c r="T11" s="24" t="s">
        <v>244</v>
      </c>
      <c r="U11" s="24" t="s">
        <v>209</v>
      </c>
      <c r="V11" s="24"/>
    </row>
    <row r="12" spans="1:22" ht="30" x14ac:dyDescent="0.25">
      <c r="A12" s="147" t="s">
        <v>135</v>
      </c>
      <c r="B12" s="50" t="s">
        <v>224</v>
      </c>
      <c r="C12" s="50" t="s">
        <v>15</v>
      </c>
      <c r="D12" s="108"/>
      <c r="E12" s="66">
        <v>1</v>
      </c>
      <c r="F12" s="66">
        <v>2</v>
      </c>
      <c r="G12" s="88">
        <v>42156</v>
      </c>
      <c r="H12" s="250"/>
      <c r="I12" s="290"/>
      <c r="T12" s="24" t="s">
        <v>244</v>
      </c>
      <c r="U12" s="24" t="s">
        <v>209</v>
      </c>
      <c r="V12" s="24"/>
    </row>
    <row r="13" spans="1:22" ht="30" x14ac:dyDescent="0.25">
      <c r="A13" s="147" t="s">
        <v>135</v>
      </c>
      <c r="B13" s="50" t="s">
        <v>224</v>
      </c>
      <c r="C13" s="50" t="s">
        <v>16</v>
      </c>
      <c r="D13" s="108"/>
      <c r="E13" s="66">
        <v>1</v>
      </c>
      <c r="F13" s="66">
        <v>1</v>
      </c>
      <c r="G13" s="88">
        <v>42156</v>
      </c>
      <c r="H13" s="250"/>
      <c r="I13" s="290"/>
      <c r="T13" s="24" t="s">
        <v>244</v>
      </c>
      <c r="U13" s="24" t="s">
        <v>209</v>
      </c>
      <c r="V13" s="24"/>
    </row>
    <row r="14" spans="1:22" ht="30.75" thickBot="1" x14ac:dyDescent="0.3">
      <c r="A14" s="148" t="s">
        <v>135</v>
      </c>
      <c r="B14" s="51" t="s">
        <v>224</v>
      </c>
      <c r="C14" s="51" t="s">
        <v>17</v>
      </c>
      <c r="D14" s="109"/>
      <c r="E14" s="67">
        <v>1</v>
      </c>
      <c r="F14" s="67">
        <v>1</v>
      </c>
      <c r="G14" s="88">
        <v>42156</v>
      </c>
      <c r="H14" s="250"/>
      <c r="I14" s="290"/>
      <c r="T14" s="24" t="s">
        <v>244</v>
      </c>
      <c r="U14" s="24" t="s">
        <v>209</v>
      </c>
      <c r="V14" s="24"/>
    </row>
    <row r="15" spans="1:22" ht="30.75" thickTop="1" x14ac:dyDescent="0.25">
      <c r="A15" s="143" t="s">
        <v>135</v>
      </c>
      <c r="B15" s="46" t="s">
        <v>18</v>
      </c>
      <c r="C15" s="46" t="s">
        <v>19</v>
      </c>
      <c r="D15" s="110"/>
      <c r="E15" s="30">
        <v>2</v>
      </c>
      <c r="F15" s="30">
        <v>2</v>
      </c>
      <c r="G15" s="84">
        <v>42156</v>
      </c>
      <c r="H15" s="250"/>
      <c r="I15" s="290"/>
      <c r="T15" s="24" t="s">
        <v>244</v>
      </c>
      <c r="U15" s="24" t="s">
        <v>209</v>
      </c>
      <c r="V15" s="24"/>
    </row>
    <row r="16" spans="1:22" ht="30" x14ac:dyDescent="0.25">
      <c r="A16" s="144" t="s">
        <v>135</v>
      </c>
      <c r="B16" s="47" t="s">
        <v>18</v>
      </c>
      <c r="C16" s="47" t="s">
        <v>20</v>
      </c>
      <c r="D16" s="105"/>
      <c r="E16" s="26">
        <v>1</v>
      </c>
      <c r="F16" s="26">
        <v>1</v>
      </c>
      <c r="G16" s="85">
        <v>42156</v>
      </c>
      <c r="H16" s="250"/>
      <c r="I16" s="290"/>
      <c r="T16" s="24" t="s">
        <v>244</v>
      </c>
      <c r="U16" s="24" t="s">
        <v>209</v>
      </c>
      <c r="V16" s="24"/>
    </row>
    <row r="17" spans="1:22" ht="30" x14ac:dyDescent="0.25">
      <c r="A17" s="144" t="s">
        <v>135</v>
      </c>
      <c r="B17" s="47" t="s">
        <v>18</v>
      </c>
      <c r="C17" s="47" t="s">
        <v>21</v>
      </c>
      <c r="D17" s="105"/>
      <c r="E17" s="26">
        <v>2</v>
      </c>
      <c r="F17" s="26">
        <v>2</v>
      </c>
      <c r="G17" s="85">
        <v>42156</v>
      </c>
      <c r="H17" s="250"/>
      <c r="I17" s="290"/>
      <c r="T17" s="24" t="s">
        <v>244</v>
      </c>
      <c r="U17" s="24" t="s">
        <v>209</v>
      </c>
      <c r="V17" s="24"/>
    </row>
    <row r="18" spans="1:22" ht="30" x14ac:dyDescent="0.25">
      <c r="A18" s="144" t="s">
        <v>135</v>
      </c>
      <c r="B18" s="47" t="s">
        <v>18</v>
      </c>
      <c r="C18" s="47" t="s">
        <v>22</v>
      </c>
      <c r="D18" s="105"/>
      <c r="E18" s="26">
        <v>2</v>
      </c>
      <c r="F18" s="26">
        <v>3</v>
      </c>
      <c r="G18" s="85">
        <v>42156</v>
      </c>
      <c r="H18" s="250"/>
      <c r="I18" s="290"/>
      <c r="T18" s="24" t="s">
        <v>244</v>
      </c>
      <c r="U18" s="24" t="s">
        <v>209</v>
      </c>
      <c r="V18" s="24"/>
    </row>
    <row r="19" spans="1:22" ht="30.75" thickBot="1" x14ac:dyDescent="0.3">
      <c r="A19" s="145" t="s">
        <v>135</v>
      </c>
      <c r="B19" s="48" t="s">
        <v>18</v>
      </c>
      <c r="C19" s="48" t="s">
        <v>23</v>
      </c>
      <c r="D19" s="106"/>
      <c r="E19" s="31">
        <v>2</v>
      </c>
      <c r="F19" s="31">
        <v>2</v>
      </c>
      <c r="G19" s="86">
        <v>42156</v>
      </c>
      <c r="H19" s="288"/>
      <c r="I19" s="291"/>
      <c r="T19" s="24" t="s">
        <v>244</v>
      </c>
      <c r="U19" s="24" t="s">
        <v>209</v>
      </c>
      <c r="V19" s="24"/>
    </row>
    <row r="20" spans="1:22" ht="15.75" thickTop="1" x14ac:dyDescent="0.25">
      <c r="A20" s="146" t="s">
        <v>136</v>
      </c>
      <c r="B20" s="49" t="s">
        <v>7</v>
      </c>
      <c r="C20" s="49" t="s">
        <v>8</v>
      </c>
      <c r="D20" s="90"/>
      <c r="E20" s="65">
        <v>2</v>
      </c>
      <c r="F20" s="65">
        <v>3</v>
      </c>
      <c r="G20" s="88">
        <v>42156</v>
      </c>
      <c r="H20" s="287" t="str">
        <f>CONCATENATE("Level"," ",MIN(E20:E34))</f>
        <v>Level 1</v>
      </c>
      <c r="I20" s="289" t="str">
        <f>CONCATENATE("Level"," ",MIN(F20:F34))</f>
        <v>Level 2</v>
      </c>
      <c r="T20" s="24" t="s">
        <v>244</v>
      </c>
      <c r="U20" s="24" t="s">
        <v>209</v>
      </c>
      <c r="V20" s="24"/>
    </row>
    <row r="21" spans="1:22" x14ac:dyDescent="0.25">
      <c r="A21" s="147" t="s">
        <v>136</v>
      </c>
      <c r="B21" s="50" t="s">
        <v>7</v>
      </c>
      <c r="C21" s="50" t="s">
        <v>9</v>
      </c>
      <c r="D21" s="91"/>
      <c r="E21" s="66">
        <v>1</v>
      </c>
      <c r="F21" s="66">
        <v>3</v>
      </c>
      <c r="G21" s="88">
        <v>42156</v>
      </c>
      <c r="H21" s="250"/>
      <c r="I21" s="290"/>
      <c r="T21" s="24" t="s">
        <v>244</v>
      </c>
      <c r="U21" s="24" t="s">
        <v>209</v>
      </c>
      <c r="V21" s="24"/>
    </row>
    <row r="22" spans="1:22" x14ac:dyDescent="0.25">
      <c r="A22" s="147" t="s">
        <v>136</v>
      </c>
      <c r="B22" s="50" t="s">
        <v>7</v>
      </c>
      <c r="C22" s="50" t="s">
        <v>10</v>
      </c>
      <c r="D22" s="92"/>
      <c r="E22" s="66">
        <v>1</v>
      </c>
      <c r="F22" s="66">
        <v>3</v>
      </c>
      <c r="G22" s="88">
        <v>42156</v>
      </c>
      <c r="H22" s="250"/>
      <c r="I22" s="290"/>
      <c r="T22" s="24" t="s">
        <v>244</v>
      </c>
      <c r="U22" s="24" t="s">
        <v>209</v>
      </c>
      <c r="V22" s="24"/>
    </row>
    <row r="23" spans="1:22" x14ac:dyDescent="0.25">
      <c r="A23" s="147" t="s">
        <v>136</v>
      </c>
      <c r="B23" s="50" t="s">
        <v>7</v>
      </c>
      <c r="C23" s="50" t="s">
        <v>11</v>
      </c>
      <c r="D23" s="93"/>
      <c r="E23" s="66">
        <v>1</v>
      </c>
      <c r="F23" s="66">
        <v>2</v>
      </c>
      <c r="G23" s="88">
        <v>42156</v>
      </c>
      <c r="H23" s="250"/>
      <c r="I23" s="290"/>
      <c r="T23" s="24" t="s">
        <v>244</v>
      </c>
      <c r="U23" s="24" t="s">
        <v>209</v>
      </c>
      <c r="V23" s="24"/>
    </row>
    <row r="24" spans="1:22" ht="15.75" thickBot="1" x14ac:dyDescent="0.3">
      <c r="A24" s="148" t="s">
        <v>136</v>
      </c>
      <c r="B24" s="51" t="s">
        <v>7</v>
      </c>
      <c r="C24" s="51" t="s">
        <v>12</v>
      </c>
      <c r="D24" s="94"/>
      <c r="E24" s="67">
        <v>2</v>
      </c>
      <c r="F24" s="67">
        <v>2</v>
      </c>
      <c r="G24" s="88">
        <v>42156</v>
      </c>
      <c r="H24" s="250"/>
      <c r="I24" s="290"/>
      <c r="T24" s="24" t="s">
        <v>244</v>
      </c>
      <c r="U24" s="24" t="s">
        <v>209</v>
      </c>
      <c r="V24" s="24"/>
    </row>
    <row r="25" spans="1:22" ht="15.75" thickTop="1" x14ac:dyDescent="0.25">
      <c r="A25" s="143" t="s">
        <v>136</v>
      </c>
      <c r="B25" s="46" t="s">
        <v>224</v>
      </c>
      <c r="C25" s="46" t="s">
        <v>13</v>
      </c>
      <c r="D25" s="95"/>
      <c r="E25" s="30">
        <v>2</v>
      </c>
      <c r="F25" s="30">
        <v>2</v>
      </c>
      <c r="G25" s="84">
        <v>42156</v>
      </c>
      <c r="H25" s="250"/>
      <c r="I25" s="290"/>
      <c r="T25" s="24" t="s">
        <v>244</v>
      </c>
      <c r="U25" s="24" t="s">
        <v>209</v>
      </c>
      <c r="V25" s="24"/>
    </row>
    <row r="26" spans="1:22" x14ac:dyDescent="0.25">
      <c r="A26" s="144" t="s">
        <v>136</v>
      </c>
      <c r="B26" s="47" t="s">
        <v>224</v>
      </c>
      <c r="C26" s="47" t="s">
        <v>14</v>
      </c>
      <c r="D26" s="96"/>
      <c r="E26" s="26">
        <v>2</v>
      </c>
      <c r="F26" s="26">
        <v>3</v>
      </c>
      <c r="G26" s="85">
        <v>42156</v>
      </c>
      <c r="H26" s="250"/>
      <c r="I26" s="290"/>
      <c r="T26" s="24" t="s">
        <v>244</v>
      </c>
      <c r="U26" s="24" t="s">
        <v>209</v>
      </c>
      <c r="V26" s="24"/>
    </row>
    <row r="27" spans="1:22" x14ac:dyDescent="0.25">
      <c r="A27" s="144" t="s">
        <v>136</v>
      </c>
      <c r="B27" s="47" t="s">
        <v>224</v>
      </c>
      <c r="C27" s="47" t="s">
        <v>15</v>
      </c>
      <c r="D27" s="97"/>
      <c r="E27" s="26">
        <v>2</v>
      </c>
      <c r="F27" s="26">
        <v>2</v>
      </c>
      <c r="G27" s="85">
        <v>42156</v>
      </c>
      <c r="H27" s="250"/>
      <c r="I27" s="290"/>
      <c r="T27" s="24" t="s">
        <v>244</v>
      </c>
      <c r="U27" s="24" t="s">
        <v>209</v>
      </c>
      <c r="V27" s="24"/>
    </row>
    <row r="28" spans="1:22" x14ac:dyDescent="0.25">
      <c r="A28" s="144" t="s">
        <v>136</v>
      </c>
      <c r="B28" s="47" t="s">
        <v>224</v>
      </c>
      <c r="C28" s="47" t="s">
        <v>16</v>
      </c>
      <c r="D28" s="98"/>
      <c r="E28" s="26">
        <v>1</v>
      </c>
      <c r="F28" s="26">
        <v>2</v>
      </c>
      <c r="G28" s="85">
        <v>42156</v>
      </c>
      <c r="H28" s="250"/>
      <c r="I28" s="290"/>
      <c r="T28" s="24" t="s">
        <v>244</v>
      </c>
      <c r="U28" s="24" t="s">
        <v>209</v>
      </c>
      <c r="V28" s="24"/>
    </row>
    <row r="29" spans="1:22" ht="15.75" thickBot="1" x14ac:dyDescent="0.3">
      <c r="A29" s="145" t="s">
        <v>136</v>
      </c>
      <c r="B29" s="48" t="s">
        <v>224</v>
      </c>
      <c r="C29" s="48" t="s">
        <v>17</v>
      </c>
      <c r="D29" s="99"/>
      <c r="E29" s="31">
        <v>2</v>
      </c>
      <c r="F29" s="31">
        <v>2</v>
      </c>
      <c r="G29" s="86">
        <v>42156</v>
      </c>
      <c r="H29" s="250"/>
      <c r="I29" s="290"/>
      <c r="T29" s="24" t="s">
        <v>244</v>
      </c>
      <c r="U29" s="24" t="s">
        <v>209</v>
      </c>
      <c r="V29" s="24"/>
    </row>
    <row r="30" spans="1:22" ht="15.75" thickTop="1" x14ac:dyDescent="0.25">
      <c r="A30" s="146" t="s">
        <v>136</v>
      </c>
      <c r="B30" s="49" t="s">
        <v>18</v>
      </c>
      <c r="C30" s="49" t="s">
        <v>19</v>
      </c>
      <c r="D30" s="100"/>
      <c r="E30" s="65">
        <v>1</v>
      </c>
      <c r="F30" s="65">
        <v>2</v>
      </c>
      <c r="G30" s="88">
        <v>42156</v>
      </c>
      <c r="H30" s="250"/>
      <c r="I30" s="290"/>
      <c r="T30" s="24" t="s">
        <v>244</v>
      </c>
      <c r="U30" s="24" t="s">
        <v>209</v>
      </c>
      <c r="V30" s="24"/>
    </row>
    <row r="31" spans="1:22" x14ac:dyDescent="0.25">
      <c r="A31" s="147" t="s">
        <v>136</v>
      </c>
      <c r="B31" s="50" t="s">
        <v>18</v>
      </c>
      <c r="C31" s="50" t="s">
        <v>20</v>
      </c>
      <c r="D31" s="91"/>
      <c r="E31" s="66">
        <v>2</v>
      </c>
      <c r="F31" s="66">
        <v>2</v>
      </c>
      <c r="G31" s="88">
        <v>42156</v>
      </c>
      <c r="H31" s="250"/>
      <c r="I31" s="290"/>
      <c r="T31" s="24" t="s">
        <v>244</v>
      </c>
      <c r="U31" s="24" t="s">
        <v>209</v>
      </c>
      <c r="V31" s="24"/>
    </row>
    <row r="32" spans="1:22" x14ac:dyDescent="0.25">
      <c r="A32" s="147" t="s">
        <v>136</v>
      </c>
      <c r="B32" s="50" t="s">
        <v>18</v>
      </c>
      <c r="C32" s="50" t="s">
        <v>21</v>
      </c>
      <c r="D32" s="92"/>
      <c r="E32" s="66">
        <v>1</v>
      </c>
      <c r="F32" s="66">
        <v>2</v>
      </c>
      <c r="G32" s="88">
        <v>42156</v>
      </c>
      <c r="H32" s="250"/>
      <c r="I32" s="290"/>
      <c r="T32" s="24" t="s">
        <v>244</v>
      </c>
      <c r="U32" s="24" t="s">
        <v>209</v>
      </c>
      <c r="V32" s="24"/>
    </row>
    <row r="33" spans="1:22" x14ac:dyDescent="0.25">
      <c r="A33" s="147" t="s">
        <v>136</v>
      </c>
      <c r="B33" s="50" t="s">
        <v>18</v>
      </c>
      <c r="C33" s="50" t="s">
        <v>22</v>
      </c>
      <c r="D33" s="93"/>
      <c r="E33" s="66">
        <v>1</v>
      </c>
      <c r="F33" s="66">
        <v>3</v>
      </c>
      <c r="G33" s="88">
        <v>42156</v>
      </c>
      <c r="H33" s="250"/>
      <c r="I33" s="290"/>
      <c r="T33" s="24" t="s">
        <v>244</v>
      </c>
      <c r="U33" s="24" t="s">
        <v>209</v>
      </c>
      <c r="V33" s="24"/>
    </row>
    <row r="34" spans="1:22" ht="15.75" thickBot="1" x14ac:dyDescent="0.3">
      <c r="A34" s="148" t="s">
        <v>136</v>
      </c>
      <c r="B34" s="51" t="s">
        <v>18</v>
      </c>
      <c r="C34" s="51" t="s">
        <v>23</v>
      </c>
      <c r="D34" s="101"/>
      <c r="E34" s="67">
        <v>1</v>
      </c>
      <c r="F34" s="67">
        <v>2</v>
      </c>
      <c r="G34" s="88">
        <v>42156</v>
      </c>
      <c r="H34" s="288"/>
      <c r="I34" s="291"/>
      <c r="T34" s="24" t="s">
        <v>244</v>
      </c>
      <c r="U34" s="24" t="s">
        <v>209</v>
      </c>
      <c r="V34" s="24"/>
    </row>
    <row r="35" spans="1:22" ht="15.75" thickTop="1" x14ac:dyDescent="0.25">
      <c r="A35" s="143" t="s">
        <v>137</v>
      </c>
      <c r="B35" s="46" t="s">
        <v>7</v>
      </c>
      <c r="C35" s="46" t="s">
        <v>8</v>
      </c>
      <c r="D35" s="95"/>
      <c r="E35" s="30">
        <v>2</v>
      </c>
      <c r="F35" s="30">
        <v>2</v>
      </c>
      <c r="G35" s="84">
        <v>42156</v>
      </c>
      <c r="H35" s="287" t="str">
        <f>CONCATENATE("Level"," ",MIN(E35:E49))</f>
        <v>Level 1</v>
      </c>
      <c r="I35" s="289" t="str">
        <f>CONCATENATE("Level"," ",MIN(F35:F49))</f>
        <v>Level 1</v>
      </c>
      <c r="T35" s="24" t="s">
        <v>244</v>
      </c>
      <c r="U35" s="24"/>
      <c r="V35" s="24"/>
    </row>
    <row r="36" spans="1:22" x14ac:dyDescent="0.25">
      <c r="A36" s="144" t="s">
        <v>137</v>
      </c>
      <c r="B36" s="47" t="s">
        <v>7</v>
      </c>
      <c r="C36" s="47" t="s">
        <v>9</v>
      </c>
      <c r="D36" s="98"/>
      <c r="E36" s="26">
        <v>1</v>
      </c>
      <c r="F36" s="26">
        <v>1</v>
      </c>
      <c r="G36" s="85">
        <v>42156</v>
      </c>
      <c r="H36" s="250"/>
      <c r="I36" s="290"/>
      <c r="T36" s="24" t="s">
        <v>244</v>
      </c>
      <c r="U36" s="24"/>
      <c r="V36" s="24"/>
    </row>
    <row r="37" spans="1:22" x14ac:dyDescent="0.25">
      <c r="A37" s="144" t="s">
        <v>137</v>
      </c>
      <c r="B37" s="47" t="s">
        <v>7</v>
      </c>
      <c r="C37" s="47" t="s">
        <v>10</v>
      </c>
      <c r="D37" s="97"/>
      <c r="E37" s="26">
        <v>2</v>
      </c>
      <c r="F37" s="26">
        <v>3</v>
      </c>
      <c r="G37" s="85">
        <v>42156</v>
      </c>
      <c r="H37" s="250"/>
      <c r="I37" s="290"/>
      <c r="T37" s="24" t="s">
        <v>244</v>
      </c>
      <c r="U37" s="24"/>
      <c r="V37" s="24"/>
    </row>
    <row r="38" spans="1:22" x14ac:dyDescent="0.25">
      <c r="A38" s="144" t="s">
        <v>137</v>
      </c>
      <c r="B38" s="47" t="s">
        <v>7</v>
      </c>
      <c r="C38" s="47" t="s">
        <v>11</v>
      </c>
      <c r="D38" s="96"/>
      <c r="E38" s="26">
        <v>1</v>
      </c>
      <c r="F38" s="26">
        <v>1</v>
      </c>
      <c r="G38" s="85">
        <v>42156</v>
      </c>
      <c r="H38" s="250"/>
      <c r="I38" s="290"/>
      <c r="T38" s="24" t="s">
        <v>244</v>
      </c>
      <c r="U38" s="24"/>
      <c r="V38" s="24"/>
    </row>
    <row r="39" spans="1:22" ht="15.75" thickBot="1" x14ac:dyDescent="0.3">
      <c r="A39" s="145" t="s">
        <v>137</v>
      </c>
      <c r="B39" s="48" t="s">
        <v>7</v>
      </c>
      <c r="C39" s="48" t="s">
        <v>12</v>
      </c>
      <c r="D39" s="102"/>
      <c r="E39" s="31">
        <v>2</v>
      </c>
      <c r="F39" s="31">
        <v>2</v>
      </c>
      <c r="G39" s="86">
        <v>42156</v>
      </c>
      <c r="H39" s="250"/>
      <c r="I39" s="290"/>
      <c r="T39" s="24" t="s">
        <v>244</v>
      </c>
      <c r="U39" s="24"/>
      <c r="V39" s="24"/>
    </row>
    <row r="40" spans="1:22" ht="15.75" thickTop="1" x14ac:dyDescent="0.25">
      <c r="A40" s="146" t="s">
        <v>137</v>
      </c>
      <c r="B40" s="49" t="s">
        <v>224</v>
      </c>
      <c r="C40" s="49" t="s">
        <v>13</v>
      </c>
      <c r="D40" s="90"/>
      <c r="E40" s="65">
        <v>2</v>
      </c>
      <c r="F40" s="65">
        <v>2</v>
      </c>
      <c r="G40" s="88">
        <v>42156</v>
      </c>
      <c r="H40" s="250"/>
      <c r="I40" s="290"/>
      <c r="T40" s="24" t="s">
        <v>244</v>
      </c>
      <c r="U40" s="24"/>
      <c r="V40" s="24"/>
    </row>
    <row r="41" spans="1:22" x14ac:dyDescent="0.25">
      <c r="A41" s="147" t="s">
        <v>137</v>
      </c>
      <c r="B41" s="50" t="s">
        <v>224</v>
      </c>
      <c r="C41" s="50" t="s">
        <v>14</v>
      </c>
      <c r="D41" s="93"/>
      <c r="E41" s="66">
        <v>2</v>
      </c>
      <c r="F41" s="66">
        <v>2</v>
      </c>
      <c r="G41" s="88">
        <v>42156</v>
      </c>
      <c r="H41" s="250"/>
      <c r="I41" s="290"/>
      <c r="T41" s="24" t="s">
        <v>244</v>
      </c>
      <c r="U41" s="24"/>
      <c r="V41" s="24"/>
    </row>
    <row r="42" spans="1:22" x14ac:dyDescent="0.25">
      <c r="A42" s="147" t="s">
        <v>137</v>
      </c>
      <c r="B42" s="50" t="s">
        <v>224</v>
      </c>
      <c r="C42" s="50" t="s">
        <v>15</v>
      </c>
      <c r="D42" s="92"/>
      <c r="E42" s="66">
        <v>1</v>
      </c>
      <c r="F42" s="66">
        <v>2</v>
      </c>
      <c r="G42" s="88">
        <v>42156</v>
      </c>
      <c r="H42" s="250"/>
      <c r="I42" s="290"/>
      <c r="T42" s="24" t="s">
        <v>244</v>
      </c>
      <c r="U42" s="24"/>
      <c r="V42" s="24"/>
    </row>
    <row r="43" spans="1:22" x14ac:dyDescent="0.25">
      <c r="A43" s="147" t="s">
        <v>137</v>
      </c>
      <c r="B43" s="50" t="s">
        <v>224</v>
      </c>
      <c r="C43" s="50" t="s">
        <v>16</v>
      </c>
      <c r="D43" s="91"/>
      <c r="E43" s="66">
        <v>1</v>
      </c>
      <c r="F43" s="66">
        <v>1</v>
      </c>
      <c r="G43" s="88">
        <v>42156</v>
      </c>
      <c r="H43" s="250"/>
      <c r="I43" s="290"/>
      <c r="T43" s="24" t="s">
        <v>244</v>
      </c>
      <c r="U43" s="24"/>
      <c r="V43" s="24"/>
    </row>
    <row r="44" spans="1:22" ht="15.75" thickBot="1" x14ac:dyDescent="0.3">
      <c r="A44" s="148" t="s">
        <v>137</v>
      </c>
      <c r="B44" s="51" t="s">
        <v>224</v>
      </c>
      <c r="C44" s="51" t="s">
        <v>17</v>
      </c>
      <c r="D44" s="103"/>
      <c r="E44" s="67">
        <v>1</v>
      </c>
      <c r="F44" s="67">
        <v>1</v>
      </c>
      <c r="G44" s="88">
        <v>42156</v>
      </c>
      <c r="H44" s="250"/>
      <c r="I44" s="290"/>
      <c r="T44" s="24" t="s">
        <v>244</v>
      </c>
      <c r="U44" s="24"/>
      <c r="V44" s="24"/>
    </row>
    <row r="45" spans="1:22" ht="15.75" thickTop="1" x14ac:dyDescent="0.25">
      <c r="A45" s="143" t="s">
        <v>137</v>
      </c>
      <c r="B45" s="46" t="s">
        <v>18</v>
      </c>
      <c r="C45" s="46" t="s">
        <v>19</v>
      </c>
      <c r="D45" s="104"/>
      <c r="E45" s="30">
        <v>2</v>
      </c>
      <c r="F45" s="30">
        <v>2</v>
      </c>
      <c r="G45" s="84">
        <v>42156</v>
      </c>
      <c r="H45" s="250"/>
      <c r="I45" s="290"/>
      <c r="T45" s="24" t="s">
        <v>244</v>
      </c>
      <c r="U45" s="24"/>
      <c r="V45" s="24"/>
    </row>
    <row r="46" spans="1:22" x14ac:dyDescent="0.25">
      <c r="A46" s="144" t="s">
        <v>137</v>
      </c>
      <c r="B46" s="47" t="s">
        <v>18</v>
      </c>
      <c r="C46" s="47" t="s">
        <v>20</v>
      </c>
      <c r="D46" s="98"/>
      <c r="E46" s="26">
        <v>1</v>
      </c>
      <c r="F46" s="26">
        <v>1</v>
      </c>
      <c r="G46" s="85">
        <v>42156</v>
      </c>
      <c r="H46" s="250"/>
      <c r="I46" s="290"/>
      <c r="T46" s="24" t="s">
        <v>244</v>
      </c>
      <c r="U46" s="24"/>
      <c r="V46" s="24"/>
    </row>
    <row r="47" spans="1:22" x14ac:dyDescent="0.25">
      <c r="A47" s="144" t="s">
        <v>137</v>
      </c>
      <c r="B47" s="47" t="s">
        <v>18</v>
      </c>
      <c r="C47" s="47" t="s">
        <v>21</v>
      </c>
      <c r="D47" s="97"/>
      <c r="E47" s="26">
        <v>2</v>
      </c>
      <c r="F47" s="26">
        <v>2</v>
      </c>
      <c r="G47" s="85">
        <v>42156</v>
      </c>
      <c r="H47" s="250"/>
      <c r="I47" s="290"/>
      <c r="T47" s="24" t="s">
        <v>244</v>
      </c>
      <c r="U47" s="24"/>
      <c r="V47" s="24"/>
    </row>
    <row r="48" spans="1:22" x14ac:dyDescent="0.25">
      <c r="A48" s="144" t="s">
        <v>137</v>
      </c>
      <c r="B48" s="47" t="s">
        <v>18</v>
      </c>
      <c r="C48" s="47" t="s">
        <v>22</v>
      </c>
      <c r="D48" s="96"/>
      <c r="E48" s="26">
        <v>2</v>
      </c>
      <c r="F48" s="26">
        <v>3</v>
      </c>
      <c r="G48" s="85">
        <v>42156</v>
      </c>
      <c r="H48" s="250"/>
      <c r="I48" s="290"/>
      <c r="T48" s="24" t="s">
        <v>244</v>
      </c>
      <c r="U48" s="24"/>
      <c r="V48" s="24"/>
    </row>
    <row r="49" spans="1:22" ht="15.75" thickBot="1" x14ac:dyDescent="0.3">
      <c r="A49" s="145" t="s">
        <v>137</v>
      </c>
      <c r="B49" s="48" t="s">
        <v>18</v>
      </c>
      <c r="C49" s="48" t="s">
        <v>23</v>
      </c>
      <c r="D49" s="99"/>
      <c r="E49" s="31">
        <v>3</v>
      </c>
      <c r="F49" s="31">
        <v>3</v>
      </c>
      <c r="G49" s="86">
        <v>42156</v>
      </c>
      <c r="H49" s="288"/>
      <c r="I49" s="291"/>
      <c r="T49" s="24" t="s">
        <v>244</v>
      </c>
      <c r="U49" s="24"/>
      <c r="V49" s="24"/>
    </row>
    <row r="50" spans="1:22" ht="30.75" thickTop="1" x14ac:dyDescent="0.25">
      <c r="A50" s="146" t="s">
        <v>138</v>
      </c>
      <c r="B50" s="49" t="s">
        <v>7</v>
      </c>
      <c r="C50" s="49" t="s">
        <v>8</v>
      </c>
      <c r="D50" s="90"/>
      <c r="E50" s="65">
        <v>1</v>
      </c>
      <c r="F50" s="65">
        <v>4</v>
      </c>
      <c r="G50" s="88">
        <v>42156</v>
      </c>
      <c r="H50" s="287" t="str">
        <f>CONCATENATE("Level"," ",MIN(E50:E64))</f>
        <v>Level 1</v>
      </c>
      <c r="I50" s="289" t="str">
        <f>CONCATENATE("Level"," ",MIN(F50:F64))</f>
        <v>Level 2</v>
      </c>
      <c r="T50" s="24" t="s">
        <v>244</v>
      </c>
      <c r="U50" s="24" t="s">
        <v>209</v>
      </c>
      <c r="V50" s="24"/>
    </row>
    <row r="51" spans="1:22" ht="30" x14ac:dyDescent="0.25">
      <c r="A51" s="147" t="s">
        <v>138</v>
      </c>
      <c r="B51" s="50" t="s">
        <v>7</v>
      </c>
      <c r="C51" s="50" t="s">
        <v>9</v>
      </c>
      <c r="D51" s="91"/>
      <c r="E51" s="66">
        <v>2</v>
      </c>
      <c r="F51" s="66">
        <v>4</v>
      </c>
      <c r="G51" s="88">
        <v>42156</v>
      </c>
      <c r="H51" s="250"/>
      <c r="I51" s="290"/>
      <c r="T51" s="24" t="s">
        <v>244</v>
      </c>
      <c r="U51" s="24" t="s">
        <v>209</v>
      </c>
      <c r="V51" s="24"/>
    </row>
    <row r="52" spans="1:22" ht="30" x14ac:dyDescent="0.25">
      <c r="A52" s="147" t="s">
        <v>138</v>
      </c>
      <c r="B52" s="50" t="s">
        <v>7</v>
      </c>
      <c r="C52" s="50" t="s">
        <v>10</v>
      </c>
      <c r="D52" s="92"/>
      <c r="E52" s="66">
        <v>2</v>
      </c>
      <c r="F52" s="66">
        <v>4</v>
      </c>
      <c r="G52" s="88">
        <v>42156</v>
      </c>
      <c r="H52" s="250"/>
      <c r="I52" s="290"/>
      <c r="T52" s="24" t="s">
        <v>244</v>
      </c>
      <c r="U52" s="24" t="s">
        <v>209</v>
      </c>
      <c r="V52" s="24"/>
    </row>
    <row r="53" spans="1:22" ht="30" x14ac:dyDescent="0.25">
      <c r="A53" s="147" t="s">
        <v>138</v>
      </c>
      <c r="B53" s="50" t="s">
        <v>7</v>
      </c>
      <c r="C53" s="50" t="s">
        <v>11</v>
      </c>
      <c r="D53" s="93"/>
      <c r="E53" s="66">
        <v>2</v>
      </c>
      <c r="F53" s="66">
        <v>4</v>
      </c>
      <c r="G53" s="88">
        <v>42156</v>
      </c>
      <c r="H53" s="250"/>
      <c r="I53" s="290"/>
      <c r="T53" s="24" t="s">
        <v>244</v>
      </c>
      <c r="U53" s="24" t="s">
        <v>209</v>
      </c>
      <c r="V53" s="24"/>
    </row>
    <row r="54" spans="1:22" ht="30.75" thickBot="1" x14ac:dyDescent="0.3">
      <c r="A54" s="148" t="s">
        <v>138</v>
      </c>
      <c r="B54" s="51" t="s">
        <v>7</v>
      </c>
      <c r="C54" s="51" t="s">
        <v>12</v>
      </c>
      <c r="D54" s="94"/>
      <c r="E54" s="67">
        <v>1</v>
      </c>
      <c r="F54" s="67">
        <v>3</v>
      </c>
      <c r="G54" s="88">
        <v>42156</v>
      </c>
      <c r="H54" s="250"/>
      <c r="I54" s="290"/>
      <c r="T54" s="24" t="s">
        <v>244</v>
      </c>
      <c r="U54" s="24" t="s">
        <v>209</v>
      </c>
      <c r="V54" s="24"/>
    </row>
    <row r="55" spans="1:22" ht="30.75" thickTop="1" x14ac:dyDescent="0.25">
      <c r="A55" s="143" t="s">
        <v>138</v>
      </c>
      <c r="B55" s="46" t="s">
        <v>224</v>
      </c>
      <c r="C55" s="46" t="s">
        <v>13</v>
      </c>
      <c r="D55" s="95"/>
      <c r="E55" s="30">
        <v>2</v>
      </c>
      <c r="F55" s="30">
        <v>3</v>
      </c>
      <c r="G55" s="84">
        <v>42156</v>
      </c>
      <c r="H55" s="250"/>
      <c r="I55" s="290"/>
      <c r="T55" s="24" t="s">
        <v>244</v>
      </c>
      <c r="U55" s="24" t="s">
        <v>209</v>
      </c>
      <c r="V55" s="24"/>
    </row>
    <row r="56" spans="1:22" ht="30" x14ac:dyDescent="0.25">
      <c r="A56" s="144" t="s">
        <v>138</v>
      </c>
      <c r="B56" s="47" t="s">
        <v>224</v>
      </c>
      <c r="C56" s="47" t="s">
        <v>14</v>
      </c>
      <c r="D56" s="96"/>
      <c r="E56" s="26">
        <v>1</v>
      </c>
      <c r="F56" s="26">
        <v>2</v>
      </c>
      <c r="G56" s="85">
        <v>42156</v>
      </c>
      <c r="H56" s="250"/>
      <c r="I56" s="290"/>
      <c r="T56" s="24" t="s">
        <v>244</v>
      </c>
      <c r="U56" s="24" t="s">
        <v>209</v>
      </c>
      <c r="V56" s="24"/>
    </row>
    <row r="57" spans="1:22" ht="30" x14ac:dyDescent="0.25">
      <c r="A57" s="144" t="s">
        <v>138</v>
      </c>
      <c r="B57" s="47" t="s">
        <v>224</v>
      </c>
      <c r="C57" s="47" t="s">
        <v>15</v>
      </c>
      <c r="D57" s="97"/>
      <c r="E57" s="26">
        <v>1</v>
      </c>
      <c r="F57" s="26">
        <v>3</v>
      </c>
      <c r="G57" s="85">
        <v>42156</v>
      </c>
      <c r="H57" s="250"/>
      <c r="I57" s="290"/>
      <c r="T57" s="24" t="s">
        <v>244</v>
      </c>
      <c r="U57" s="24" t="s">
        <v>209</v>
      </c>
      <c r="V57" s="24"/>
    </row>
    <row r="58" spans="1:22" ht="30" x14ac:dyDescent="0.25">
      <c r="A58" s="144" t="s">
        <v>138</v>
      </c>
      <c r="B58" s="47" t="s">
        <v>224</v>
      </c>
      <c r="C58" s="47" t="s">
        <v>16</v>
      </c>
      <c r="D58" s="98"/>
      <c r="E58" s="26">
        <v>1</v>
      </c>
      <c r="F58" s="26">
        <v>3</v>
      </c>
      <c r="G58" s="85">
        <v>42156</v>
      </c>
      <c r="H58" s="250"/>
      <c r="I58" s="290"/>
      <c r="T58" s="24" t="s">
        <v>244</v>
      </c>
      <c r="U58" s="24" t="s">
        <v>209</v>
      </c>
      <c r="V58" s="24"/>
    </row>
    <row r="59" spans="1:22" ht="30.75" thickBot="1" x14ac:dyDescent="0.3">
      <c r="A59" s="145" t="s">
        <v>138</v>
      </c>
      <c r="B59" s="48" t="s">
        <v>224</v>
      </c>
      <c r="C59" s="48" t="s">
        <v>17</v>
      </c>
      <c r="D59" s="99"/>
      <c r="E59" s="31">
        <v>2</v>
      </c>
      <c r="F59" s="31">
        <v>2</v>
      </c>
      <c r="G59" s="86">
        <v>42156</v>
      </c>
      <c r="H59" s="250"/>
      <c r="I59" s="290"/>
      <c r="T59" s="24" t="s">
        <v>244</v>
      </c>
      <c r="U59" s="24" t="s">
        <v>209</v>
      </c>
      <c r="V59" s="24"/>
    </row>
    <row r="60" spans="1:22" ht="30.75" thickTop="1" x14ac:dyDescent="0.25">
      <c r="A60" s="146" t="s">
        <v>138</v>
      </c>
      <c r="B60" s="49" t="s">
        <v>18</v>
      </c>
      <c r="C60" s="49" t="s">
        <v>19</v>
      </c>
      <c r="D60" s="100"/>
      <c r="E60" s="65">
        <v>2</v>
      </c>
      <c r="F60" s="65">
        <v>3</v>
      </c>
      <c r="G60" s="88">
        <v>42156</v>
      </c>
      <c r="H60" s="250"/>
      <c r="I60" s="290"/>
      <c r="T60" s="24" t="s">
        <v>244</v>
      </c>
      <c r="U60" s="24" t="s">
        <v>209</v>
      </c>
      <c r="V60" s="24"/>
    </row>
    <row r="61" spans="1:22" ht="30" x14ac:dyDescent="0.25">
      <c r="A61" s="147" t="s">
        <v>138</v>
      </c>
      <c r="B61" s="50" t="s">
        <v>18</v>
      </c>
      <c r="C61" s="50" t="s">
        <v>20</v>
      </c>
      <c r="D61" s="91"/>
      <c r="E61" s="66">
        <v>1</v>
      </c>
      <c r="F61" s="66">
        <v>3</v>
      </c>
      <c r="G61" s="88">
        <v>42156</v>
      </c>
      <c r="H61" s="250"/>
      <c r="I61" s="290"/>
      <c r="T61" s="24" t="s">
        <v>244</v>
      </c>
      <c r="U61" s="24" t="s">
        <v>209</v>
      </c>
      <c r="V61" s="24"/>
    </row>
    <row r="62" spans="1:22" ht="30" x14ac:dyDescent="0.25">
      <c r="A62" s="147" t="s">
        <v>138</v>
      </c>
      <c r="B62" s="50" t="s">
        <v>18</v>
      </c>
      <c r="C62" s="50" t="s">
        <v>21</v>
      </c>
      <c r="D62" s="92"/>
      <c r="E62" s="66">
        <v>2</v>
      </c>
      <c r="F62" s="66">
        <v>3</v>
      </c>
      <c r="G62" s="88">
        <v>42156</v>
      </c>
      <c r="H62" s="250"/>
      <c r="I62" s="290"/>
      <c r="T62" s="24" t="s">
        <v>244</v>
      </c>
      <c r="U62" s="24" t="s">
        <v>209</v>
      </c>
      <c r="V62" s="24"/>
    </row>
    <row r="63" spans="1:22" ht="30" x14ac:dyDescent="0.25">
      <c r="A63" s="147" t="s">
        <v>138</v>
      </c>
      <c r="B63" s="50" t="s">
        <v>18</v>
      </c>
      <c r="C63" s="50" t="s">
        <v>22</v>
      </c>
      <c r="D63" s="93"/>
      <c r="E63" s="66">
        <v>1</v>
      </c>
      <c r="F63" s="66">
        <v>3</v>
      </c>
      <c r="G63" s="88">
        <v>42156</v>
      </c>
      <c r="H63" s="250"/>
      <c r="I63" s="290"/>
      <c r="T63" s="24" t="s">
        <v>244</v>
      </c>
      <c r="U63" s="24" t="s">
        <v>209</v>
      </c>
      <c r="V63" s="24"/>
    </row>
    <row r="64" spans="1:22" ht="30.75" thickBot="1" x14ac:dyDescent="0.3">
      <c r="A64" s="148" t="s">
        <v>138</v>
      </c>
      <c r="B64" s="51" t="s">
        <v>18</v>
      </c>
      <c r="C64" s="51" t="s">
        <v>23</v>
      </c>
      <c r="D64" s="103"/>
      <c r="E64" s="67">
        <v>2</v>
      </c>
      <c r="F64" s="67">
        <v>3</v>
      </c>
      <c r="G64" s="88">
        <v>42156</v>
      </c>
      <c r="H64" s="288"/>
      <c r="I64" s="291"/>
      <c r="T64" s="24" t="s">
        <v>244</v>
      </c>
      <c r="U64" s="24" t="s">
        <v>209</v>
      </c>
      <c r="V64" s="24"/>
    </row>
    <row r="65" spans="1:22" ht="15.75" thickTop="1" x14ac:dyDescent="0.25">
      <c r="A65" s="143" t="s">
        <v>139</v>
      </c>
      <c r="B65" s="46" t="s">
        <v>7</v>
      </c>
      <c r="C65" s="46" t="s">
        <v>8</v>
      </c>
      <c r="D65" s="95"/>
      <c r="E65" s="30">
        <v>1</v>
      </c>
      <c r="F65" s="30">
        <v>3</v>
      </c>
      <c r="G65" s="84">
        <v>42156</v>
      </c>
      <c r="H65" s="287" t="str">
        <f>CONCATENATE("Level"," ",MIN(E65:E79))</f>
        <v>Level 1</v>
      </c>
      <c r="I65" s="289" t="str">
        <f>CONCATENATE("Level"," ",MIN(F65:F79))</f>
        <v>Level 1</v>
      </c>
      <c r="T65" s="24" t="s">
        <v>244</v>
      </c>
      <c r="U65" s="24" t="s">
        <v>209</v>
      </c>
      <c r="V65" s="24"/>
    </row>
    <row r="66" spans="1:22" x14ac:dyDescent="0.25">
      <c r="A66" s="144" t="s">
        <v>139</v>
      </c>
      <c r="B66" s="47" t="s">
        <v>7</v>
      </c>
      <c r="C66" s="47" t="s">
        <v>9</v>
      </c>
      <c r="D66" s="98"/>
      <c r="E66" s="26">
        <v>2</v>
      </c>
      <c r="F66" s="26">
        <v>3</v>
      </c>
      <c r="G66" s="85">
        <v>42156</v>
      </c>
      <c r="H66" s="250"/>
      <c r="I66" s="290"/>
      <c r="T66" s="24" t="s">
        <v>244</v>
      </c>
      <c r="U66" s="24" t="s">
        <v>209</v>
      </c>
      <c r="V66" s="24"/>
    </row>
    <row r="67" spans="1:22" x14ac:dyDescent="0.25">
      <c r="A67" s="144" t="s">
        <v>139</v>
      </c>
      <c r="B67" s="47" t="s">
        <v>7</v>
      </c>
      <c r="C67" s="47" t="s">
        <v>10</v>
      </c>
      <c r="D67" s="97"/>
      <c r="E67" s="26">
        <v>3</v>
      </c>
      <c r="F67" s="26">
        <v>3</v>
      </c>
      <c r="G67" s="85">
        <v>42156</v>
      </c>
      <c r="H67" s="250"/>
      <c r="I67" s="290"/>
      <c r="T67" s="24" t="s">
        <v>244</v>
      </c>
      <c r="U67" s="24" t="s">
        <v>209</v>
      </c>
      <c r="V67" s="24"/>
    </row>
    <row r="68" spans="1:22" x14ac:dyDescent="0.25">
      <c r="A68" s="144" t="s">
        <v>139</v>
      </c>
      <c r="B68" s="47" t="s">
        <v>7</v>
      </c>
      <c r="C68" s="47" t="s">
        <v>11</v>
      </c>
      <c r="D68" s="96"/>
      <c r="E68" s="26">
        <v>2</v>
      </c>
      <c r="F68" s="26">
        <v>2</v>
      </c>
      <c r="G68" s="85">
        <v>42156</v>
      </c>
      <c r="H68" s="250"/>
      <c r="I68" s="290"/>
      <c r="T68" s="24" t="s">
        <v>244</v>
      </c>
      <c r="U68" s="24" t="s">
        <v>209</v>
      </c>
      <c r="V68" s="24"/>
    </row>
    <row r="69" spans="1:22" ht="15.75" thickBot="1" x14ac:dyDescent="0.3">
      <c r="A69" s="145" t="s">
        <v>139</v>
      </c>
      <c r="B69" s="48" t="s">
        <v>7</v>
      </c>
      <c r="C69" s="48" t="s">
        <v>12</v>
      </c>
      <c r="D69" s="102"/>
      <c r="E69" s="31">
        <v>2</v>
      </c>
      <c r="F69" s="31">
        <v>2</v>
      </c>
      <c r="G69" s="86">
        <v>42156</v>
      </c>
      <c r="H69" s="250"/>
      <c r="I69" s="290"/>
      <c r="T69" s="24" t="s">
        <v>244</v>
      </c>
      <c r="U69" s="24" t="s">
        <v>209</v>
      </c>
      <c r="V69" s="24"/>
    </row>
    <row r="70" spans="1:22" ht="15.75" thickTop="1" x14ac:dyDescent="0.25">
      <c r="A70" s="146" t="s">
        <v>139</v>
      </c>
      <c r="B70" s="49" t="s">
        <v>224</v>
      </c>
      <c r="C70" s="49" t="s">
        <v>13</v>
      </c>
      <c r="D70" s="90"/>
      <c r="E70" s="65">
        <v>2</v>
      </c>
      <c r="F70" s="65">
        <v>2</v>
      </c>
      <c r="G70" s="88">
        <v>42156</v>
      </c>
      <c r="H70" s="250"/>
      <c r="I70" s="290"/>
      <c r="T70" s="24" t="s">
        <v>244</v>
      </c>
      <c r="U70" s="24" t="s">
        <v>209</v>
      </c>
      <c r="V70" s="24"/>
    </row>
    <row r="71" spans="1:22" x14ac:dyDescent="0.25">
      <c r="A71" s="147" t="s">
        <v>139</v>
      </c>
      <c r="B71" s="50" t="s">
        <v>224</v>
      </c>
      <c r="C71" s="50" t="s">
        <v>14</v>
      </c>
      <c r="D71" s="93"/>
      <c r="E71" s="66">
        <v>1</v>
      </c>
      <c r="F71" s="66">
        <v>1</v>
      </c>
      <c r="G71" s="88">
        <v>42156</v>
      </c>
      <c r="H71" s="250"/>
      <c r="I71" s="290"/>
      <c r="T71" s="24" t="s">
        <v>244</v>
      </c>
      <c r="U71" s="24" t="s">
        <v>209</v>
      </c>
      <c r="V71" s="24"/>
    </row>
    <row r="72" spans="1:22" x14ac:dyDescent="0.25">
      <c r="A72" s="147" t="s">
        <v>139</v>
      </c>
      <c r="B72" s="50" t="s">
        <v>224</v>
      </c>
      <c r="C72" s="50" t="s">
        <v>15</v>
      </c>
      <c r="D72" s="92"/>
      <c r="E72" s="66">
        <v>2</v>
      </c>
      <c r="F72" s="66">
        <v>2</v>
      </c>
      <c r="G72" s="88">
        <v>42156</v>
      </c>
      <c r="H72" s="250"/>
      <c r="I72" s="290"/>
      <c r="T72" s="24" t="s">
        <v>244</v>
      </c>
      <c r="U72" s="24" t="s">
        <v>209</v>
      </c>
      <c r="V72" s="24"/>
    </row>
    <row r="73" spans="1:22" x14ac:dyDescent="0.25">
      <c r="A73" s="147" t="s">
        <v>139</v>
      </c>
      <c r="B73" s="50" t="s">
        <v>224</v>
      </c>
      <c r="C73" s="50" t="s">
        <v>16</v>
      </c>
      <c r="D73" s="91"/>
      <c r="E73" s="66">
        <v>1</v>
      </c>
      <c r="F73" s="66">
        <v>1</v>
      </c>
      <c r="G73" s="88">
        <v>42156</v>
      </c>
      <c r="H73" s="250"/>
      <c r="I73" s="290"/>
      <c r="T73" s="24" t="s">
        <v>244</v>
      </c>
      <c r="U73" s="24" t="s">
        <v>209</v>
      </c>
      <c r="V73" s="24"/>
    </row>
    <row r="74" spans="1:22" ht="15.75" thickBot="1" x14ac:dyDescent="0.3">
      <c r="A74" s="148" t="s">
        <v>139</v>
      </c>
      <c r="B74" s="51" t="s">
        <v>224</v>
      </c>
      <c r="C74" s="51" t="s">
        <v>17</v>
      </c>
      <c r="D74" s="103"/>
      <c r="E74" s="67">
        <v>2</v>
      </c>
      <c r="F74" s="67">
        <v>2</v>
      </c>
      <c r="G74" s="88">
        <v>42156</v>
      </c>
      <c r="H74" s="250"/>
      <c r="I74" s="290"/>
      <c r="T74" s="24" t="s">
        <v>244</v>
      </c>
      <c r="U74" s="24" t="s">
        <v>209</v>
      </c>
      <c r="V74" s="24"/>
    </row>
    <row r="75" spans="1:22" ht="15.75" thickTop="1" x14ac:dyDescent="0.25">
      <c r="A75" s="143" t="s">
        <v>139</v>
      </c>
      <c r="B75" s="46" t="s">
        <v>18</v>
      </c>
      <c r="C75" s="46" t="s">
        <v>19</v>
      </c>
      <c r="D75" s="104"/>
      <c r="E75" s="30">
        <v>2</v>
      </c>
      <c r="F75" s="30">
        <v>3</v>
      </c>
      <c r="G75" s="84">
        <v>42156</v>
      </c>
      <c r="H75" s="250"/>
      <c r="I75" s="290"/>
      <c r="T75" s="24" t="s">
        <v>244</v>
      </c>
      <c r="U75" s="24" t="s">
        <v>209</v>
      </c>
      <c r="V75" s="24"/>
    </row>
    <row r="76" spans="1:22" x14ac:dyDescent="0.25">
      <c r="A76" s="144" t="s">
        <v>139</v>
      </c>
      <c r="B76" s="47" t="s">
        <v>18</v>
      </c>
      <c r="C76" s="47" t="s">
        <v>20</v>
      </c>
      <c r="D76" s="98"/>
      <c r="E76" s="26">
        <v>1</v>
      </c>
      <c r="F76" s="26">
        <v>3</v>
      </c>
      <c r="G76" s="85">
        <v>42156</v>
      </c>
      <c r="H76" s="250"/>
      <c r="I76" s="290"/>
      <c r="T76" s="24" t="s">
        <v>244</v>
      </c>
      <c r="U76" s="24" t="s">
        <v>209</v>
      </c>
      <c r="V76" s="24"/>
    </row>
    <row r="77" spans="1:22" x14ac:dyDescent="0.25">
      <c r="A77" s="144" t="s">
        <v>139</v>
      </c>
      <c r="B77" s="47" t="s">
        <v>18</v>
      </c>
      <c r="C77" s="47" t="s">
        <v>21</v>
      </c>
      <c r="D77" s="97"/>
      <c r="E77" s="26">
        <v>2</v>
      </c>
      <c r="F77" s="26">
        <v>3</v>
      </c>
      <c r="G77" s="85">
        <v>42156</v>
      </c>
      <c r="H77" s="250"/>
      <c r="I77" s="290"/>
      <c r="T77" s="24" t="s">
        <v>244</v>
      </c>
      <c r="U77" s="24" t="s">
        <v>209</v>
      </c>
      <c r="V77" s="24"/>
    </row>
    <row r="78" spans="1:22" x14ac:dyDescent="0.25">
      <c r="A78" s="144" t="s">
        <v>139</v>
      </c>
      <c r="B78" s="47" t="s">
        <v>18</v>
      </c>
      <c r="C78" s="47" t="s">
        <v>22</v>
      </c>
      <c r="D78" s="96"/>
      <c r="E78" s="26">
        <v>1</v>
      </c>
      <c r="F78" s="26">
        <v>3</v>
      </c>
      <c r="G78" s="85">
        <v>42156</v>
      </c>
      <c r="H78" s="250"/>
      <c r="I78" s="290"/>
      <c r="T78" s="24" t="s">
        <v>244</v>
      </c>
      <c r="U78" s="24" t="s">
        <v>209</v>
      </c>
      <c r="V78" s="24"/>
    </row>
    <row r="79" spans="1:22" ht="15.75" thickBot="1" x14ac:dyDescent="0.3">
      <c r="A79" s="145" t="s">
        <v>139</v>
      </c>
      <c r="B79" s="48" t="s">
        <v>18</v>
      </c>
      <c r="C79" s="48" t="s">
        <v>23</v>
      </c>
      <c r="D79" s="111"/>
      <c r="E79" s="31">
        <v>2</v>
      </c>
      <c r="F79" s="31">
        <v>3</v>
      </c>
      <c r="G79" s="86">
        <v>42156</v>
      </c>
      <c r="H79" s="288"/>
      <c r="I79" s="291"/>
      <c r="T79" s="24" t="s">
        <v>244</v>
      </c>
      <c r="U79" s="24" t="s">
        <v>209</v>
      </c>
      <c r="V79" s="24"/>
    </row>
    <row r="80" spans="1:22" ht="15.75" thickTop="1" x14ac:dyDescent="0.25">
      <c r="A80" s="146" t="s">
        <v>140</v>
      </c>
      <c r="B80" s="49" t="s">
        <v>7</v>
      </c>
      <c r="C80" s="49" t="s">
        <v>8</v>
      </c>
      <c r="D80" s="112"/>
      <c r="E80" s="65" t="s">
        <v>210</v>
      </c>
      <c r="F80" s="65" t="s">
        <v>210</v>
      </c>
      <c r="G80" s="88">
        <v>42156</v>
      </c>
      <c r="H80" s="287" t="str">
        <f>CONCATENATE("Level"," ",MIN(E80:E94))</f>
        <v>Level 0</v>
      </c>
      <c r="I80" s="289" t="str">
        <f>CONCATENATE("Level"," ",MIN(F80:F94))</f>
        <v>Level 0</v>
      </c>
      <c r="T80" s="24" t="s">
        <v>244</v>
      </c>
      <c r="U80" s="24" t="s">
        <v>209</v>
      </c>
      <c r="V80" s="24"/>
    </row>
    <row r="81" spans="1:22" x14ac:dyDescent="0.25">
      <c r="A81" s="147" t="s">
        <v>140</v>
      </c>
      <c r="B81" s="50" t="s">
        <v>7</v>
      </c>
      <c r="C81" s="50" t="s">
        <v>9</v>
      </c>
      <c r="D81" s="113"/>
      <c r="E81" s="66" t="s">
        <v>210</v>
      </c>
      <c r="F81" s="66" t="s">
        <v>210</v>
      </c>
      <c r="G81" s="88">
        <v>42156</v>
      </c>
      <c r="H81" s="250"/>
      <c r="I81" s="290"/>
      <c r="T81" s="24" t="s">
        <v>244</v>
      </c>
      <c r="U81" s="24" t="s">
        <v>209</v>
      </c>
      <c r="V81" s="24"/>
    </row>
    <row r="82" spans="1:22" x14ac:dyDescent="0.25">
      <c r="A82" s="147" t="s">
        <v>140</v>
      </c>
      <c r="B82" s="50" t="s">
        <v>7</v>
      </c>
      <c r="C82" s="50" t="s">
        <v>10</v>
      </c>
      <c r="D82" s="113"/>
      <c r="E82" s="66" t="s">
        <v>210</v>
      </c>
      <c r="F82" s="66" t="s">
        <v>210</v>
      </c>
      <c r="G82" s="88">
        <v>42156</v>
      </c>
      <c r="H82" s="250"/>
      <c r="I82" s="290"/>
      <c r="T82" s="24" t="s">
        <v>244</v>
      </c>
      <c r="U82" s="24" t="s">
        <v>209</v>
      </c>
      <c r="V82" s="24"/>
    </row>
    <row r="83" spans="1:22" x14ac:dyDescent="0.25">
      <c r="A83" s="147" t="s">
        <v>140</v>
      </c>
      <c r="B83" s="50" t="s">
        <v>7</v>
      </c>
      <c r="C83" s="50" t="s">
        <v>11</v>
      </c>
      <c r="D83" s="113"/>
      <c r="E83" s="66" t="s">
        <v>210</v>
      </c>
      <c r="F83" s="66" t="s">
        <v>210</v>
      </c>
      <c r="G83" s="88">
        <v>42156</v>
      </c>
      <c r="H83" s="250"/>
      <c r="I83" s="290"/>
      <c r="T83" s="24" t="s">
        <v>244</v>
      </c>
      <c r="U83" s="24" t="s">
        <v>209</v>
      </c>
      <c r="V83" s="24"/>
    </row>
    <row r="84" spans="1:22" ht="15.75" thickBot="1" x14ac:dyDescent="0.3">
      <c r="A84" s="148" t="s">
        <v>140</v>
      </c>
      <c r="B84" s="51" t="s">
        <v>7</v>
      </c>
      <c r="C84" s="51" t="s">
        <v>12</v>
      </c>
      <c r="D84" s="114"/>
      <c r="E84" s="67" t="s">
        <v>210</v>
      </c>
      <c r="F84" s="67" t="s">
        <v>210</v>
      </c>
      <c r="G84" s="88">
        <v>42156</v>
      </c>
      <c r="H84" s="250"/>
      <c r="I84" s="290"/>
      <c r="T84" s="24" t="s">
        <v>244</v>
      </c>
      <c r="U84" s="24" t="s">
        <v>209</v>
      </c>
      <c r="V84" s="24"/>
    </row>
    <row r="85" spans="1:22" ht="15.75" thickTop="1" x14ac:dyDescent="0.25">
      <c r="A85" s="143" t="s">
        <v>140</v>
      </c>
      <c r="B85" s="46" t="s">
        <v>224</v>
      </c>
      <c r="C85" s="46" t="s">
        <v>13</v>
      </c>
      <c r="D85" s="115"/>
      <c r="E85" s="30" t="s">
        <v>210</v>
      </c>
      <c r="F85" s="30" t="s">
        <v>210</v>
      </c>
      <c r="G85" s="84">
        <v>42156</v>
      </c>
      <c r="H85" s="250"/>
      <c r="I85" s="290"/>
      <c r="T85" s="24" t="s">
        <v>244</v>
      </c>
      <c r="U85" s="24" t="s">
        <v>209</v>
      </c>
      <c r="V85" s="24"/>
    </row>
    <row r="86" spans="1:22" x14ac:dyDescent="0.25">
      <c r="A86" s="144" t="s">
        <v>140</v>
      </c>
      <c r="B86" s="47" t="s">
        <v>224</v>
      </c>
      <c r="C86" s="47" t="s">
        <v>14</v>
      </c>
      <c r="D86" s="116"/>
      <c r="E86" s="26" t="s">
        <v>210</v>
      </c>
      <c r="F86" s="26" t="s">
        <v>210</v>
      </c>
      <c r="G86" s="85">
        <v>42156</v>
      </c>
      <c r="H86" s="250"/>
      <c r="I86" s="290"/>
      <c r="T86" s="24" t="s">
        <v>244</v>
      </c>
      <c r="U86" s="24" t="s">
        <v>209</v>
      </c>
      <c r="V86" s="24"/>
    </row>
    <row r="87" spans="1:22" x14ac:dyDescent="0.25">
      <c r="A87" s="144" t="s">
        <v>140</v>
      </c>
      <c r="B87" s="47" t="s">
        <v>224</v>
      </c>
      <c r="C87" s="47" t="s">
        <v>15</v>
      </c>
      <c r="D87" s="97"/>
      <c r="E87" s="26" t="s">
        <v>210</v>
      </c>
      <c r="F87" s="26" t="s">
        <v>210</v>
      </c>
      <c r="G87" s="85">
        <v>42156</v>
      </c>
      <c r="H87" s="250"/>
      <c r="I87" s="290"/>
      <c r="T87" s="24" t="s">
        <v>244</v>
      </c>
      <c r="U87" s="24" t="s">
        <v>209</v>
      </c>
      <c r="V87" s="24"/>
    </row>
    <row r="88" spans="1:22" x14ac:dyDescent="0.25">
      <c r="A88" s="144" t="s">
        <v>140</v>
      </c>
      <c r="B88" s="47" t="s">
        <v>224</v>
      </c>
      <c r="C88" s="47" t="s">
        <v>16</v>
      </c>
      <c r="D88" s="98"/>
      <c r="E88" s="26" t="s">
        <v>210</v>
      </c>
      <c r="F88" s="26" t="s">
        <v>210</v>
      </c>
      <c r="G88" s="85">
        <v>42156</v>
      </c>
      <c r="H88" s="250"/>
      <c r="I88" s="290"/>
      <c r="T88" s="24" t="s">
        <v>244</v>
      </c>
      <c r="U88" s="24" t="s">
        <v>209</v>
      </c>
      <c r="V88" s="24"/>
    </row>
    <row r="89" spans="1:22" ht="15.75" thickBot="1" x14ac:dyDescent="0.3">
      <c r="A89" s="145" t="s">
        <v>140</v>
      </c>
      <c r="B89" s="48" t="s">
        <v>224</v>
      </c>
      <c r="C89" s="48" t="s">
        <v>17</v>
      </c>
      <c r="D89" s="99"/>
      <c r="E89" s="31" t="s">
        <v>210</v>
      </c>
      <c r="F89" s="31" t="s">
        <v>210</v>
      </c>
      <c r="G89" s="86">
        <v>42156</v>
      </c>
      <c r="H89" s="250"/>
      <c r="I89" s="290"/>
      <c r="T89" s="24" t="s">
        <v>244</v>
      </c>
      <c r="U89" s="24" t="s">
        <v>209</v>
      </c>
      <c r="V89" s="24"/>
    </row>
    <row r="90" spans="1:22" ht="15.75" thickTop="1" x14ac:dyDescent="0.25">
      <c r="A90" s="146" t="s">
        <v>140</v>
      </c>
      <c r="B90" s="49" t="s">
        <v>18</v>
      </c>
      <c r="C90" s="49" t="s">
        <v>19</v>
      </c>
      <c r="D90" s="100"/>
      <c r="E90" s="65" t="s">
        <v>210</v>
      </c>
      <c r="F90" s="65" t="s">
        <v>210</v>
      </c>
      <c r="G90" s="88">
        <v>42156</v>
      </c>
      <c r="H90" s="250"/>
      <c r="I90" s="290"/>
      <c r="T90" s="24" t="s">
        <v>244</v>
      </c>
      <c r="U90" s="24" t="s">
        <v>209</v>
      </c>
      <c r="V90" s="24"/>
    </row>
    <row r="91" spans="1:22" x14ac:dyDescent="0.25">
      <c r="A91" s="147" t="s">
        <v>140</v>
      </c>
      <c r="B91" s="50" t="s">
        <v>18</v>
      </c>
      <c r="C91" s="50" t="s">
        <v>20</v>
      </c>
      <c r="D91" s="91"/>
      <c r="E91" s="66" t="s">
        <v>210</v>
      </c>
      <c r="F91" s="66" t="s">
        <v>210</v>
      </c>
      <c r="G91" s="88">
        <v>42156</v>
      </c>
      <c r="H91" s="250"/>
      <c r="I91" s="290"/>
      <c r="T91" s="24" t="s">
        <v>244</v>
      </c>
      <c r="U91" s="24" t="s">
        <v>209</v>
      </c>
      <c r="V91" s="24"/>
    </row>
    <row r="92" spans="1:22" x14ac:dyDescent="0.25">
      <c r="A92" s="147" t="s">
        <v>140</v>
      </c>
      <c r="B92" s="50" t="s">
        <v>18</v>
      </c>
      <c r="C92" s="50" t="s">
        <v>21</v>
      </c>
      <c r="D92" s="92"/>
      <c r="E92" s="66" t="s">
        <v>210</v>
      </c>
      <c r="F92" s="66" t="s">
        <v>210</v>
      </c>
      <c r="G92" s="88">
        <v>42156</v>
      </c>
      <c r="H92" s="250"/>
      <c r="I92" s="290"/>
      <c r="T92" s="24" t="s">
        <v>244</v>
      </c>
      <c r="U92" s="24" t="s">
        <v>209</v>
      </c>
      <c r="V92" s="24"/>
    </row>
    <row r="93" spans="1:22" x14ac:dyDescent="0.25">
      <c r="A93" s="147" t="s">
        <v>140</v>
      </c>
      <c r="B93" s="50" t="s">
        <v>18</v>
      </c>
      <c r="C93" s="50" t="s">
        <v>22</v>
      </c>
      <c r="D93" s="93"/>
      <c r="E93" s="66" t="s">
        <v>210</v>
      </c>
      <c r="F93" s="66" t="s">
        <v>210</v>
      </c>
      <c r="G93" s="88">
        <v>42156</v>
      </c>
      <c r="H93" s="250"/>
      <c r="I93" s="290"/>
      <c r="T93" s="24" t="s">
        <v>244</v>
      </c>
      <c r="U93" s="24" t="s">
        <v>209</v>
      </c>
      <c r="V93" s="24"/>
    </row>
    <row r="94" spans="1:22" ht="15.75" thickBot="1" x14ac:dyDescent="0.3">
      <c r="A94" s="148" t="s">
        <v>140</v>
      </c>
      <c r="B94" s="51" t="s">
        <v>18</v>
      </c>
      <c r="C94" s="51" t="s">
        <v>23</v>
      </c>
      <c r="D94" s="103"/>
      <c r="E94" s="67" t="s">
        <v>210</v>
      </c>
      <c r="F94" s="67" t="s">
        <v>210</v>
      </c>
      <c r="G94" s="88">
        <v>42156</v>
      </c>
      <c r="H94" s="288"/>
      <c r="I94" s="291"/>
      <c r="T94" s="24" t="s">
        <v>244</v>
      </c>
      <c r="U94" s="24" t="s">
        <v>209</v>
      </c>
      <c r="V94" s="24"/>
    </row>
    <row r="95" spans="1:22" ht="15.75" thickTop="1" x14ac:dyDescent="0.25">
      <c r="A95" s="143" t="s">
        <v>141</v>
      </c>
      <c r="B95" s="46" t="s">
        <v>7</v>
      </c>
      <c r="C95" s="46" t="s">
        <v>8</v>
      </c>
      <c r="D95" s="95"/>
      <c r="E95" s="30">
        <v>1</v>
      </c>
      <c r="F95" s="30">
        <v>3</v>
      </c>
      <c r="G95" s="84">
        <v>42156</v>
      </c>
      <c r="H95" s="287" t="str">
        <f>CONCATENATE("Level"," ",MIN(E95:E109))</f>
        <v>Level 1</v>
      </c>
      <c r="I95" s="289" t="str">
        <f>CONCATENATE("Level"," ",MIN(F95:F109))</f>
        <v>Level 1</v>
      </c>
      <c r="T95" s="24" t="s">
        <v>244</v>
      </c>
      <c r="U95" s="24"/>
      <c r="V95" s="24"/>
    </row>
    <row r="96" spans="1:22" x14ac:dyDescent="0.25">
      <c r="A96" s="144" t="s">
        <v>141</v>
      </c>
      <c r="B96" s="47" t="s">
        <v>7</v>
      </c>
      <c r="C96" s="47" t="s">
        <v>9</v>
      </c>
      <c r="D96" s="98"/>
      <c r="E96" s="26">
        <v>3</v>
      </c>
      <c r="F96" s="26">
        <v>4</v>
      </c>
      <c r="G96" s="85">
        <v>42156</v>
      </c>
      <c r="H96" s="250"/>
      <c r="I96" s="290"/>
      <c r="T96" s="24" t="s">
        <v>244</v>
      </c>
      <c r="U96" s="24"/>
      <c r="V96" s="24"/>
    </row>
    <row r="97" spans="1:22" x14ac:dyDescent="0.25">
      <c r="A97" s="144" t="s">
        <v>141</v>
      </c>
      <c r="B97" s="47" t="s">
        <v>7</v>
      </c>
      <c r="C97" s="47" t="s">
        <v>10</v>
      </c>
      <c r="D97" s="97"/>
      <c r="E97" s="26">
        <v>3</v>
      </c>
      <c r="F97" s="26">
        <v>3</v>
      </c>
      <c r="G97" s="85">
        <v>42156</v>
      </c>
      <c r="H97" s="250"/>
      <c r="I97" s="290"/>
      <c r="T97" s="24" t="s">
        <v>244</v>
      </c>
      <c r="U97" s="24"/>
      <c r="V97" s="24"/>
    </row>
    <row r="98" spans="1:22" x14ac:dyDescent="0.25">
      <c r="A98" s="144" t="s">
        <v>141</v>
      </c>
      <c r="B98" s="47" t="s">
        <v>7</v>
      </c>
      <c r="C98" s="47" t="s">
        <v>11</v>
      </c>
      <c r="D98" s="96"/>
      <c r="E98" s="26">
        <v>2</v>
      </c>
      <c r="F98" s="26">
        <v>2</v>
      </c>
      <c r="G98" s="85">
        <v>42156</v>
      </c>
      <c r="H98" s="250"/>
      <c r="I98" s="290"/>
      <c r="T98" s="24" t="s">
        <v>244</v>
      </c>
      <c r="U98" s="24"/>
      <c r="V98" s="24"/>
    </row>
    <row r="99" spans="1:22" ht="15.75" thickBot="1" x14ac:dyDescent="0.3">
      <c r="A99" s="145" t="s">
        <v>141</v>
      </c>
      <c r="B99" s="48" t="s">
        <v>7</v>
      </c>
      <c r="C99" s="48" t="s">
        <v>12</v>
      </c>
      <c r="D99" s="102"/>
      <c r="E99" s="31">
        <v>2</v>
      </c>
      <c r="F99" s="31">
        <v>2</v>
      </c>
      <c r="G99" s="86">
        <v>42156</v>
      </c>
      <c r="H99" s="250"/>
      <c r="I99" s="290"/>
      <c r="T99" s="24" t="s">
        <v>244</v>
      </c>
      <c r="U99" s="24"/>
      <c r="V99" s="24"/>
    </row>
    <row r="100" spans="1:22" ht="15.75" thickTop="1" x14ac:dyDescent="0.25">
      <c r="A100" s="146" t="s">
        <v>141</v>
      </c>
      <c r="B100" s="49" t="s">
        <v>224</v>
      </c>
      <c r="C100" s="49" t="s">
        <v>13</v>
      </c>
      <c r="D100" s="90"/>
      <c r="E100" s="65">
        <v>2</v>
      </c>
      <c r="F100" s="65">
        <v>2</v>
      </c>
      <c r="G100" s="88">
        <v>42156</v>
      </c>
      <c r="H100" s="250"/>
      <c r="I100" s="290"/>
      <c r="T100" s="24" t="s">
        <v>244</v>
      </c>
      <c r="U100" s="24"/>
      <c r="V100" s="24"/>
    </row>
    <row r="101" spans="1:22" x14ac:dyDescent="0.25">
      <c r="A101" s="147" t="s">
        <v>141</v>
      </c>
      <c r="B101" s="50" t="s">
        <v>224</v>
      </c>
      <c r="C101" s="50" t="s">
        <v>14</v>
      </c>
      <c r="D101" s="93"/>
      <c r="E101" s="66">
        <v>1</v>
      </c>
      <c r="F101" s="66">
        <v>1</v>
      </c>
      <c r="G101" s="88">
        <v>42156</v>
      </c>
      <c r="H101" s="250"/>
      <c r="I101" s="290"/>
      <c r="T101" s="24" t="s">
        <v>244</v>
      </c>
      <c r="U101" s="24"/>
      <c r="V101" s="24"/>
    </row>
    <row r="102" spans="1:22" x14ac:dyDescent="0.25">
      <c r="A102" s="147" t="s">
        <v>141</v>
      </c>
      <c r="B102" s="50" t="s">
        <v>224</v>
      </c>
      <c r="C102" s="50" t="s">
        <v>15</v>
      </c>
      <c r="D102" s="92"/>
      <c r="E102" s="66">
        <v>2</v>
      </c>
      <c r="F102" s="66">
        <v>2</v>
      </c>
      <c r="G102" s="88">
        <v>42156</v>
      </c>
      <c r="H102" s="250"/>
      <c r="I102" s="290"/>
      <c r="T102" s="24" t="s">
        <v>244</v>
      </c>
      <c r="U102" s="24"/>
      <c r="V102" s="24"/>
    </row>
    <row r="103" spans="1:22" x14ac:dyDescent="0.25">
      <c r="A103" s="147" t="s">
        <v>141</v>
      </c>
      <c r="B103" s="50" t="s">
        <v>224</v>
      </c>
      <c r="C103" s="50" t="s">
        <v>16</v>
      </c>
      <c r="D103" s="91"/>
      <c r="E103" s="66">
        <v>1</v>
      </c>
      <c r="F103" s="66">
        <v>1</v>
      </c>
      <c r="G103" s="88">
        <v>42156</v>
      </c>
      <c r="H103" s="250"/>
      <c r="I103" s="290"/>
      <c r="T103" s="24" t="s">
        <v>244</v>
      </c>
      <c r="U103" s="24"/>
      <c r="V103" s="24"/>
    </row>
    <row r="104" spans="1:22" ht="15.75" thickBot="1" x14ac:dyDescent="0.3">
      <c r="A104" s="148" t="s">
        <v>141</v>
      </c>
      <c r="B104" s="51" t="s">
        <v>224</v>
      </c>
      <c r="C104" s="51" t="s">
        <v>17</v>
      </c>
      <c r="D104" s="103"/>
      <c r="E104" s="67">
        <v>2</v>
      </c>
      <c r="F104" s="67">
        <v>2</v>
      </c>
      <c r="G104" s="88">
        <v>42156</v>
      </c>
      <c r="H104" s="250"/>
      <c r="I104" s="290"/>
      <c r="T104" s="24" t="s">
        <v>244</v>
      </c>
      <c r="U104" s="24"/>
      <c r="V104" s="24"/>
    </row>
    <row r="105" spans="1:22" ht="15.75" thickTop="1" x14ac:dyDescent="0.25">
      <c r="A105" s="143" t="s">
        <v>141</v>
      </c>
      <c r="B105" s="46" t="s">
        <v>18</v>
      </c>
      <c r="C105" s="46" t="s">
        <v>19</v>
      </c>
      <c r="D105" s="104"/>
      <c r="E105" s="30">
        <v>2</v>
      </c>
      <c r="F105" s="30">
        <v>2</v>
      </c>
      <c r="G105" s="84">
        <v>42156</v>
      </c>
      <c r="H105" s="250"/>
      <c r="I105" s="290"/>
      <c r="T105" s="24" t="s">
        <v>244</v>
      </c>
      <c r="U105" s="24"/>
      <c r="V105" s="24"/>
    </row>
    <row r="106" spans="1:22" x14ac:dyDescent="0.25">
      <c r="A106" s="144" t="s">
        <v>141</v>
      </c>
      <c r="B106" s="47" t="s">
        <v>18</v>
      </c>
      <c r="C106" s="47" t="s">
        <v>20</v>
      </c>
      <c r="D106" s="98"/>
      <c r="E106" s="26">
        <v>2</v>
      </c>
      <c r="F106" s="26">
        <v>2</v>
      </c>
      <c r="G106" s="85">
        <v>42156</v>
      </c>
      <c r="H106" s="250"/>
      <c r="I106" s="290"/>
      <c r="T106" s="24" t="s">
        <v>244</v>
      </c>
      <c r="U106" s="24"/>
      <c r="V106" s="24"/>
    </row>
    <row r="107" spans="1:22" x14ac:dyDescent="0.25">
      <c r="A107" s="144" t="s">
        <v>141</v>
      </c>
      <c r="B107" s="47" t="s">
        <v>18</v>
      </c>
      <c r="C107" s="47" t="s">
        <v>21</v>
      </c>
      <c r="D107" s="97"/>
      <c r="E107" s="26">
        <v>2</v>
      </c>
      <c r="F107" s="26">
        <v>2</v>
      </c>
      <c r="G107" s="85">
        <v>42156</v>
      </c>
      <c r="H107" s="250"/>
      <c r="I107" s="290"/>
      <c r="T107" s="24" t="s">
        <v>244</v>
      </c>
      <c r="U107" s="24"/>
      <c r="V107" s="24"/>
    </row>
    <row r="108" spans="1:22" x14ac:dyDescent="0.25">
      <c r="A108" s="144" t="s">
        <v>141</v>
      </c>
      <c r="B108" s="47" t="s">
        <v>18</v>
      </c>
      <c r="C108" s="47" t="s">
        <v>22</v>
      </c>
      <c r="D108" s="96"/>
      <c r="E108" s="26">
        <v>1</v>
      </c>
      <c r="F108" s="26">
        <v>2</v>
      </c>
      <c r="G108" s="85">
        <v>42156</v>
      </c>
      <c r="H108" s="250"/>
      <c r="I108" s="290"/>
      <c r="T108" s="24" t="s">
        <v>244</v>
      </c>
      <c r="U108" s="24"/>
      <c r="V108" s="24"/>
    </row>
    <row r="109" spans="1:22" ht="15.75" thickBot="1" x14ac:dyDescent="0.3">
      <c r="A109" s="145" t="s">
        <v>141</v>
      </c>
      <c r="B109" s="48" t="s">
        <v>18</v>
      </c>
      <c r="C109" s="48" t="s">
        <v>23</v>
      </c>
      <c r="D109" s="99"/>
      <c r="E109" s="31">
        <v>1</v>
      </c>
      <c r="F109" s="31">
        <v>1</v>
      </c>
      <c r="G109" s="86">
        <v>42156</v>
      </c>
      <c r="H109" s="288"/>
      <c r="I109" s="291"/>
      <c r="T109" s="24" t="s">
        <v>244</v>
      </c>
      <c r="U109" s="24"/>
      <c r="V109" s="24"/>
    </row>
    <row r="110" spans="1:22" ht="15.75" thickTop="1" x14ac:dyDescent="0.25">
      <c r="A110" s="146" t="s">
        <v>142</v>
      </c>
      <c r="B110" s="49" t="s">
        <v>7</v>
      </c>
      <c r="C110" s="49" t="s">
        <v>8</v>
      </c>
      <c r="D110" s="112"/>
      <c r="E110" s="65">
        <v>1</v>
      </c>
      <c r="F110" s="65">
        <v>3</v>
      </c>
      <c r="G110" s="88">
        <v>42156</v>
      </c>
      <c r="H110" s="287" t="str">
        <f>CONCATENATE("Level"," ",MIN(E110:E124))</f>
        <v>Level 1</v>
      </c>
      <c r="I110" s="289" t="str">
        <f>CONCATENATE("Level"," ",MIN(F110:F124))</f>
        <v>Level 1</v>
      </c>
      <c r="T110" s="24" t="s">
        <v>244</v>
      </c>
      <c r="U110" s="24" t="s">
        <v>209</v>
      </c>
      <c r="V110" s="24"/>
    </row>
    <row r="111" spans="1:22" x14ac:dyDescent="0.25">
      <c r="A111" s="147" t="s">
        <v>142</v>
      </c>
      <c r="B111" s="50" t="s">
        <v>7</v>
      </c>
      <c r="C111" s="50" t="s">
        <v>9</v>
      </c>
      <c r="D111" s="113"/>
      <c r="E111" s="66">
        <v>3</v>
      </c>
      <c r="F111" s="66">
        <v>4</v>
      </c>
      <c r="G111" s="88">
        <v>42156</v>
      </c>
      <c r="H111" s="250"/>
      <c r="I111" s="290"/>
      <c r="T111" s="24" t="s">
        <v>244</v>
      </c>
      <c r="U111" s="24" t="s">
        <v>209</v>
      </c>
      <c r="V111" s="24"/>
    </row>
    <row r="112" spans="1:22" x14ac:dyDescent="0.25">
      <c r="A112" s="147" t="s">
        <v>142</v>
      </c>
      <c r="B112" s="50" t="s">
        <v>7</v>
      </c>
      <c r="C112" s="50" t="s">
        <v>10</v>
      </c>
      <c r="D112" s="113"/>
      <c r="E112" s="66">
        <v>3</v>
      </c>
      <c r="F112" s="66">
        <v>3</v>
      </c>
      <c r="G112" s="88">
        <v>42156</v>
      </c>
      <c r="H112" s="250"/>
      <c r="I112" s="290"/>
      <c r="T112" s="24" t="s">
        <v>244</v>
      </c>
      <c r="U112" s="24" t="s">
        <v>209</v>
      </c>
      <c r="V112" s="24"/>
    </row>
    <row r="113" spans="1:22" x14ac:dyDescent="0.25">
      <c r="A113" s="147" t="s">
        <v>142</v>
      </c>
      <c r="B113" s="50" t="s">
        <v>7</v>
      </c>
      <c r="C113" s="50" t="s">
        <v>11</v>
      </c>
      <c r="D113" s="113"/>
      <c r="E113" s="66">
        <v>2</v>
      </c>
      <c r="F113" s="66">
        <v>2</v>
      </c>
      <c r="G113" s="88">
        <v>42156</v>
      </c>
      <c r="H113" s="250"/>
      <c r="I113" s="290"/>
      <c r="T113" s="24" t="s">
        <v>244</v>
      </c>
      <c r="U113" s="24" t="s">
        <v>209</v>
      </c>
      <c r="V113" s="24"/>
    </row>
    <row r="114" spans="1:22" ht="15.75" thickBot="1" x14ac:dyDescent="0.3">
      <c r="A114" s="148" t="s">
        <v>142</v>
      </c>
      <c r="B114" s="51" t="s">
        <v>7</v>
      </c>
      <c r="C114" s="51" t="s">
        <v>12</v>
      </c>
      <c r="D114" s="114"/>
      <c r="E114" s="67">
        <v>2</v>
      </c>
      <c r="F114" s="67">
        <v>2</v>
      </c>
      <c r="G114" s="88">
        <v>42156</v>
      </c>
      <c r="H114" s="250"/>
      <c r="I114" s="290"/>
      <c r="T114" s="24" t="s">
        <v>244</v>
      </c>
      <c r="U114" s="24" t="s">
        <v>209</v>
      </c>
      <c r="V114" s="24"/>
    </row>
    <row r="115" spans="1:22" ht="15.75" thickTop="1" x14ac:dyDescent="0.25">
      <c r="A115" s="143" t="s">
        <v>142</v>
      </c>
      <c r="B115" s="46" t="s">
        <v>224</v>
      </c>
      <c r="C115" s="46" t="s">
        <v>13</v>
      </c>
      <c r="D115" s="115"/>
      <c r="E115" s="30">
        <v>2</v>
      </c>
      <c r="F115" s="30">
        <v>2</v>
      </c>
      <c r="G115" s="84">
        <v>42156</v>
      </c>
      <c r="H115" s="250"/>
      <c r="I115" s="290"/>
      <c r="T115" s="24" t="s">
        <v>244</v>
      </c>
      <c r="U115" s="24" t="s">
        <v>209</v>
      </c>
      <c r="V115" s="24"/>
    </row>
    <row r="116" spans="1:22" x14ac:dyDescent="0.25">
      <c r="A116" s="144" t="s">
        <v>142</v>
      </c>
      <c r="B116" s="47" t="s">
        <v>224</v>
      </c>
      <c r="C116" s="47" t="s">
        <v>14</v>
      </c>
      <c r="D116" s="116"/>
      <c r="E116" s="26">
        <v>1</v>
      </c>
      <c r="F116" s="26">
        <v>1</v>
      </c>
      <c r="G116" s="85">
        <v>42156</v>
      </c>
      <c r="H116" s="250"/>
      <c r="I116" s="290"/>
      <c r="T116" s="24" t="s">
        <v>244</v>
      </c>
      <c r="U116" s="24" t="s">
        <v>209</v>
      </c>
      <c r="V116" s="24"/>
    </row>
    <row r="117" spans="1:22" x14ac:dyDescent="0.25">
      <c r="A117" s="144" t="s">
        <v>142</v>
      </c>
      <c r="B117" s="47" t="s">
        <v>224</v>
      </c>
      <c r="C117" s="47" t="s">
        <v>15</v>
      </c>
      <c r="D117" s="116"/>
      <c r="E117" s="26">
        <v>2</v>
      </c>
      <c r="F117" s="26">
        <v>2</v>
      </c>
      <c r="G117" s="85">
        <v>42156</v>
      </c>
      <c r="H117" s="250"/>
      <c r="I117" s="290"/>
      <c r="T117" s="24" t="s">
        <v>244</v>
      </c>
      <c r="U117" s="24" t="s">
        <v>209</v>
      </c>
      <c r="V117" s="24"/>
    </row>
    <row r="118" spans="1:22" x14ac:dyDescent="0.25">
      <c r="A118" s="144" t="s">
        <v>142</v>
      </c>
      <c r="B118" s="47" t="s">
        <v>224</v>
      </c>
      <c r="C118" s="47" t="s">
        <v>16</v>
      </c>
      <c r="D118" s="116"/>
      <c r="E118" s="26">
        <v>1</v>
      </c>
      <c r="F118" s="26">
        <v>1</v>
      </c>
      <c r="G118" s="85">
        <v>42156</v>
      </c>
      <c r="H118" s="250"/>
      <c r="I118" s="290"/>
      <c r="T118" s="24" t="s">
        <v>244</v>
      </c>
      <c r="U118" s="24" t="s">
        <v>209</v>
      </c>
      <c r="V118" s="24"/>
    </row>
    <row r="119" spans="1:22" ht="15.75" thickBot="1" x14ac:dyDescent="0.3">
      <c r="A119" s="145" t="s">
        <v>142</v>
      </c>
      <c r="B119" s="48" t="s">
        <v>224</v>
      </c>
      <c r="C119" s="48" t="s">
        <v>17</v>
      </c>
      <c r="D119" s="111"/>
      <c r="E119" s="31">
        <v>2</v>
      </c>
      <c r="F119" s="31">
        <v>2</v>
      </c>
      <c r="G119" s="86">
        <v>42156</v>
      </c>
      <c r="H119" s="250"/>
      <c r="I119" s="290"/>
      <c r="T119" s="24" t="s">
        <v>244</v>
      </c>
      <c r="U119" s="24" t="s">
        <v>209</v>
      </c>
      <c r="V119" s="24"/>
    </row>
    <row r="120" spans="1:22" ht="15.75" thickTop="1" x14ac:dyDescent="0.25">
      <c r="A120" s="146" t="s">
        <v>142</v>
      </c>
      <c r="B120" s="49" t="s">
        <v>18</v>
      </c>
      <c r="C120" s="49" t="s">
        <v>19</v>
      </c>
      <c r="D120" s="112"/>
      <c r="E120" s="65">
        <v>2</v>
      </c>
      <c r="F120" s="65">
        <v>2</v>
      </c>
      <c r="G120" s="88">
        <v>42156</v>
      </c>
      <c r="H120" s="250"/>
      <c r="I120" s="290"/>
      <c r="T120" s="24" t="s">
        <v>244</v>
      </c>
      <c r="U120" s="24" t="s">
        <v>209</v>
      </c>
      <c r="V120" s="24"/>
    </row>
    <row r="121" spans="1:22" x14ac:dyDescent="0.25">
      <c r="A121" s="147" t="s">
        <v>142</v>
      </c>
      <c r="B121" s="50" t="s">
        <v>18</v>
      </c>
      <c r="C121" s="50" t="s">
        <v>20</v>
      </c>
      <c r="D121" s="113"/>
      <c r="E121" s="66">
        <v>2</v>
      </c>
      <c r="F121" s="66">
        <v>2</v>
      </c>
      <c r="G121" s="88">
        <v>42156</v>
      </c>
      <c r="H121" s="250"/>
      <c r="I121" s="290"/>
      <c r="T121" s="24" t="s">
        <v>244</v>
      </c>
      <c r="U121" s="24" t="s">
        <v>209</v>
      </c>
      <c r="V121" s="24"/>
    </row>
    <row r="122" spans="1:22" x14ac:dyDescent="0.25">
      <c r="A122" s="147" t="s">
        <v>142</v>
      </c>
      <c r="B122" s="50" t="s">
        <v>18</v>
      </c>
      <c r="C122" s="50" t="s">
        <v>21</v>
      </c>
      <c r="D122" s="113"/>
      <c r="E122" s="66">
        <v>2</v>
      </c>
      <c r="F122" s="66">
        <v>2</v>
      </c>
      <c r="G122" s="88">
        <v>42156</v>
      </c>
      <c r="H122" s="250"/>
      <c r="I122" s="290"/>
      <c r="T122" s="24" t="s">
        <v>244</v>
      </c>
      <c r="U122" s="24" t="s">
        <v>209</v>
      </c>
      <c r="V122" s="24"/>
    </row>
    <row r="123" spans="1:22" x14ac:dyDescent="0.25">
      <c r="A123" s="147" t="s">
        <v>142</v>
      </c>
      <c r="B123" s="50" t="s">
        <v>18</v>
      </c>
      <c r="C123" s="50" t="s">
        <v>22</v>
      </c>
      <c r="D123" s="113"/>
      <c r="E123" s="66">
        <v>1</v>
      </c>
      <c r="F123" s="66">
        <v>2</v>
      </c>
      <c r="G123" s="88">
        <v>42156</v>
      </c>
      <c r="H123" s="250"/>
      <c r="I123" s="290"/>
      <c r="T123" s="24" t="s">
        <v>244</v>
      </c>
      <c r="U123" s="24" t="s">
        <v>209</v>
      </c>
      <c r="V123" s="24"/>
    </row>
    <row r="124" spans="1:22" ht="15.75" thickBot="1" x14ac:dyDescent="0.3">
      <c r="A124" s="148" t="s">
        <v>142</v>
      </c>
      <c r="B124" s="51" t="s">
        <v>18</v>
      </c>
      <c r="C124" s="51" t="s">
        <v>23</v>
      </c>
      <c r="D124" s="114"/>
      <c r="E124" s="67">
        <v>1</v>
      </c>
      <c r="F124" s="67">
        <v>1</v>
      </c>
      <c r="G124" s="88">
        <v>42156</v>
      </c>
      <c r="H124" s="288"/>
      <c r="I124" s="291"/>
      <c r="T124" s="24" t="s">
        <v>244</v>
      </c>
      <c r="U124" s="24" t="s">
        <v>209</v>
      </c>
      <c r="V124" s="24"/>
    </row>
    <row r="125" spans="1:22" ht="15.75" thickTop="1" x14ac:dyDescent="0.25">
      <c r="A125" s="143" t="s">
        <v>143</v>
      </c>
      <c r="B125" s="46" t="s">
        <v>7</v>
      </c>
      <c r="C125" s="46" t="s">
        <v>8</v>
      </c>
      <c r="D125" s="115"/>
      <c r="E125" s="30">
        <v>1</v>
      </c>
      <c r="F125" s="30">
        <v>3</v>
      </c>
      <c r="G125" s="84">
        <v>42156</v>
      </c>
      <c r="H125" s="287" t="str">
        <f>CONCATENATE("Level"," ",MIN(E125:E139))</f>
        <v>Level 1</v>
      </c>
      <c r="I125" s="289" t="str">
        <f>CONCATENATE("Level"," ",MIN(F125:F139))</f>
        <v>Level 1</v>
      </c>
      <c r="T125" s="24" t="s">
        <v>244</v>
      </c>
      <c r="U125" s="24" t="s">
        <v>209</v>
      </c>
      <c r="V125" s="24"/>
    </row>
    <row r="126" spans="1:22" x14ac:dyDescent="0.25">
      <c r="A126" s="144" t="s">
        <v>143</v>
      </c>
      <c r="B126" s="47" t="s">
        <v>7</v>
      </c>
      <c r="C126" s="47" t="s">
        <v>9</v>
      </c>
      <c r="D126" s="116"/>
      <c r="E126" s="26">
        <v>2</v>
      </c>
      <c r="F126" s="26">
        <v>3</v>
      </c>
      <c r="G126" s="85">
        <v>42156</v>
      </c>
      <c r="H126" s="250"/>
      <c r="I126" s="290"/>
      <c r="T126" s="24" t="s">
        <v>244</v>
      </c>
      <c r="U126" s="24" t="s">
        <v>209</v>
      </c>
      <c r="V126" s="24"/>
    </row>
    <row r="127" spans="1:22" x14ac:dyDescent="0.25">
      <c r="A127" s="144" t="s">
        <v>143</v>
      </c>
      <c r="B127" s="47" t="s">
        <v>7</v>
      </c>
      <c r="C127" s="47" t="s">
        <v>10</v>
      </c>
      <c r="D127" s="116"/>
      <c r="E127" s="26">
        <v>3</v>
      </c>
      <c r="F127" s="26">
        <v>3</v>
      </c>
      <c r="G127" s="85">
        <v>42156</v>
      </c>
      <c r="H127" s="250"/>
      <c r="I127" s="290"/>
      <c r="T127" s="24" t="s">
        <v>244</v>
      </c>
      <c r="U127" s="24" t="s">
        <v>209</v>
      </c>
      <c r="V127" s="24"/>
    </row>
    <row r="128" spans="1:22" x14ac:dyDescent="0.25">
      <c r="A128" s="144" t="s">
        <v>143</v>
      </c>
      <c r="B128" s="47" t="s">
        <v>7</v>
      </c>
      <c r="C128" s="47" t="s">
        <v>11</v>
      </c>
      <c r="D128" s="116"/>
      <c r="E128" s="26">
        <v>1</v>
      </c>
      <c r="F128" s="26">
        <v>2</v>
      </c>
      <c r="G128" s="85">
        <v>42156</v>
      </c>
      <c r="H128" s="250"/>
      <c r="I128" s="290"/>
      <c r="T128" s="24" t="s">
        <v>244</v>
      </c>
      <c r="U128" s="24" t="s">
        <v>209</v>
      </c>
      <c r="V128" s="24"/>
    </row>
    <row r="129" spans="1:22" ht="15.75" thickBot="1" x14ac:dyDescent="0.3">
      <c r="A129" s="145" t="s">
        <v>143</v>
      </c>
      <c r="B129" s="48" t="s">
        <v>7</v>
      </c>
      <c r="C129" s="48" t="s">
        <v>12</v>
      </c>
      <c r="D129" s="111"/>
      <c r="E129" s="31">
        <v>2</v>
      </c>
      <c r="F129" s="31">
        <v>3</v>
      </c>
      <c r="G129" s="86">
        <v>42156</v>
      </c>
      <c r="H129" s="250"/>
      <c r="I129" s="290"/>
      <c r="T129" s="24" t="s">
        <v>244</v>
      </c>
      <c r="U129" s="24" t="s">
        <v>209</v>
      </c>
      <c r="V129" s="24"/>
    </row>
    <row r="130" spans="1:22" ht="15.75" thickTop="1" x14ac:dyDescent="0.25">
      <c r="A130" s="146" t="s">
        <v>143</v>
      </c>
      <c r="B130" s="49" t="s">
        <v>224</v>
      </c>
      <c r="C130" s="49" t="s">
        <v>13</v>
      </c>
      <c r="D130" s="112"/>
      <c r="E130" s="65">
        <v>2</v>
      </c>
      <c r="F130" s="65">
        <v>2</v>
      </c>
      <c r="G130" s="88">
        <v>42156</v>
      </c>
      <c r="H130" s="250"/>
      <c r="I130" s="290"/>
      <c r="T130" s="24" t="s">
        <v>244</v>
      </c>
      <c r="U130" s="24" t="s">
        <v>209</v>
      </c>
      <c r="V130" s="24"/>
    </row>
    <row r="131" spans="1:22" x14ac:dyDescent="0.25">
      <c r="A131" s="147" t="s">
        <v>143</v>
      </c>
      <c r="B131" s="50" t="s">
        <v>224</v>
      </c>
      <c r="C131" s="50" t="s">
        <v>14</v>
      </c>
      <c r="D131" s="113"/>
      <c r="E131" s="66">
        <v>2</v>
      </c>
      <c r="F131" s="66">
        <v>2</v>
      </c>
      <c r="G131" s="88">
        <v>42156</v>
      </c>
      <c r="H131" s="250"/>
      <c r="I131" s="290"/>
      <c r="T131" s="24" t="s">
        <v>244</v>
      </c>
      <c r="U131" s="24" t="s">
        <v>209</v>
      </c>
      <c r="V131" s="24"/>
    </row>
    <row r="132" spans="1:22" x14ac:dyDescent="0.25">
      <c r="A132" s="147" t="s">
        <v>143</v>
      </c>
      <c r="B132" s="50" t="s">
        <v>224</v>
      </c>
      <c r="C132" s="50" t="s">
        <v>15</v>
      </c>
      <c r="D132" s="113"/>
      <c r="E132" s="66">
        <v>2</v>
      </c>
      <c r="F132" s="66">
        <v>2</v>
      </c>
      <c r="G132" s="88">
        <v>42156</v>
      </c>
      <c r="H132" s="250"/>
      <c r="I132" s="290"/>
      <c r="T132" s="24" t="s">
        <v>244</v>
      </c>
      <c r="U132" s="24" t="s">
        <v>209</v>
      </c>
      <c r="V132" s="24"/>
    </row>
    <row r="133" spans="1:22" x14ac:dyDescent="0.25">
      <c r="A133" s="147" t="s">
        <v>143</v>
      </c>
      <c r="B133" s="50" t="s">
        <v>224</v>
      </c>
      <c r="C133" s="50" t="s">
        <v>16</v>
      </c>
      <c r="D133" s="113"/>
      <c r="E133" s="66">
        <v>1</v>
      </c>
      <c r="F133" s="66">
        <v>2</v>
      </c>
      <c r="G133" s="88">
        <v>42156</v>
      </c>
      <c r="H133" s="250"/>
      <c r="I133" s="290"/>
      <c r="T133" s="24" t="s">
        <v>244</v>
      </c>
      <c r="U133" s="24" t="s">
        <v>209</v>
      </c>
      <c r="V133" s="24"/>
    </row>
    <row r="134" spans="1:22" ht="15.75" thickBot="1" x14ac:dyDescent="0.3">
      <c r="A134" s="148" t="s">
        <v>143</v>
      </c>
      <c r="B134" s="51" t="s">
        <v>224</v>
      </c>
      <c r="C134" s="51" t="s">
        <v>17</v>
      </c>
      <c r="D134" s="114"/>
      <c r="E134" s="67">
        <v>2</v>
      </c>
      <c r="F134" s="67">
        <v>2</v>
      </c>
      <c r="G134" s="88">
        <v>42156</v>
      </c>
      <c r="H134" s="250"/>
      <c r="I134" s="290"/>
      <c r="T134" s="24" t="s">
        <v>244</v>
      </c>
      <c r="U134" s="24" t="s">
        <v>209</v>
      </c>
      <c r="V134" s="24"/>
    </row>
    <row r="135" spans="1:22" ht="15.75" thickTop="1" x14ac:dyDescent="0.25">
      <c r="A135" s="143" t="s">
        <v>143</v>
      </c>
      <c r="B135" s="46" t="s">
        <v>18</v>
      </c>
      <c r="C135" s="46" t="s">
        <v>19</v>
      </c>
      <c r="D135" s="115"/>
      <c r="E135" s="30">
        <v>1</v>
      </c>
      <c r="F135" s="30">
        <v>2</v>
      </c>
      <c r="G135" s="84">
        <v>42156</v>
      </c>
      <c r="H135" s="250"/>
      <c r="I135" s="290"/>
      <c r="T135" s="24" t="s">
        <v>244</v>
      </c>
      <c r="U135" s="24" t="s">
        <v>209</v>
      </c>
      <c r="V135" s="24"/>
    </row>
    <row r="136" spans="1:22" x14ac:dyDescent="0.25">
      <c r="A136" s="144" t="s">
        <v>143</v>
      </c>
      <c r="B136" s="47" t="s">
        <v>18</v>
      </c>
      <c r="C136" s="47" t="s">
        <v>20</v>
      </c>
      <c r="D136" s="116"/>
      <c r="E136" s="26">
        <v>1</v>
      </c>
      <c r="F136" s="26">
        <v>2</v>
      </c>
      <c r="G136" s="85">
        <v>42156</v>
      </c>
      <c r="H136" s="250"/>
      <c r="I136" s="290"/>
      <c r="T136" s="24" t="s">
        <v>244</v>
      </c>
      <c r="U136" s="24" t="s">
        <v>209</v>
      </c>
      <c r="V136" s="24"/>
    </row>
    <row r="137" spans="1:22" x14ac:dyDescent="0.25">
      <c r="A137" s="144" t="s">
        <v>143</v>
      </c>
      <c r="B137" s="47" t="s">
        <v>18</v>
      </c>
      <c r="C137" s="47" t="s">
        <v>21</v>
      </c>
      <c r="D137" s="116"/>
      <c r="E137" s="26">
        <v>1</v>
      </c>
      <c r="F137" s="26">
        <v>1</v>
      </c>
      <c r="G137" s="85">
        <v>42156</v>
      </c>
      <c r="H137" s="250"/>
      <c r="I137" s="290"/>
      <c r="T137" s="24" t="s">
        <v>244</v>
      </c>
      <c r="U137" s="24" t="s">
        <v>209</v>
      </c>
      <c r="V137" s="24"/>
    </row>
    <row r="138" spans="1:22" x14ac:dyDescent="0.25">
      <c r="A138" s="144" t="s">
        <v>143</v>
      </c>
      <c r="B138" s="47" t="s">
        <v>18</v>
      </c>
      <c r="C138" s="47" t="s">
        <v>22</v>
      </c>
      <c r="D138" s="116"/>
      <c r="E138" s="26">
        <v>1</v>
      </c>
      <c r="F138" s="26">
        <v>1</v>
      </c>
      <c r="G138" s="85">
        <v>42156</v>
      </c>
      <c r="H138" s="250"/>
      <c r="I138" s="290"/>
      <c r="T138" s="24" t="s">
        <v>244</v>
      </c>
      <c r="U138" s="24" t="s">
        <v>209</v>
      </c>
      <c r="V138" s="24"/>
    </row>
    <row r="139" spans="1:22" ht="15.75" thickBot="1" x14ac:dyDescent="0.3">
      <c r="A139" s="145" t="s">
        <v>143</v>
      </c>
      <c r="B139" s="48" t="s">
        <v>18</v>
      </c>
      <c r="C139" s="48" t="s">
        <v>23</v>
      </c>
      <c r="D139" s="111"/>
      <c r="E139" s="31">
        <v>1</v>
      </c>
      <c r="F139" s="31">
        <v>1</v>
      </c>
      <c r="G139" s="86">
        <v>42156</v>
      </c>
      <c r="H139" s="288"/>
      <c r="I139" s="291"/>
      <c r="T139" s="24" t="s">
        <v>244</v>
      </c>
      <c r="U139" s="24" t="s">
        <v>209</v>
      </c>
      <c r="V139" s="24"/>
    </row>
    <row r="140" spans="1:22" ht="15.75" thickTop="1" x14ac:dyDescent="0.25">
      <c r="A140" s="146" t="s">
        <v>5</v>
      </c>
      <c r="B140" s="49" t="s">
        <v>7</v>
      </c>
      <c r="C140" s="49" t="s">
        <v>8</v>
      </c>
      <c r="D140" s="112"/>
      <c r="E140" s="65">
        <v>1</v>
      </c>
      <c r="F140" s="65">
        <v>4</v>
      </c>
      <c r="G140" s="88">
        <v>42156</v>
      </c>
      <c r="H140" s="287" t="str">
        <f>CONCATENATE("Level"," ",MIN(E140:E154))</f>
        <v>Level 1</v>
      </c>
      <c r="I140" s="289" t="str">
        <f>CONCATENATE("Level"," ",MIN(F140:F154))</f>
        <v>Level 2</v>
      </c>
      <c r="T140" s="24" t="s">
        <v>244</v>
      </c>
      <c r="U140" s="24" t="s">
        <v>209</v>
      </c>
      <c r="V140" s="24"/>
    </row>
    <row r="141" spans="1:22" x14ac:dyDescent="0.25">
      <c r="A141" s="147" t="s">
        <v>5</v>
      </c>
      <c r="B141" s="50" t="s">
        <v>7</v>
      </c>
      <c r="C141" s="50" t="s">
        <v>9</v>
      </c>
      <c r="D141" s="113"/>
      <c r="E141" s="66">
        <v>2</v>
      </c>
      <c r="F141" s="66">
        <v>4</v>
      </c>
      <c r="G141" s="88">
        <v>42156</v>
      </c>
      <c r="H141" s="250"/>
      <c r="I141" s="290"/>
      <c r="T141" s="24" t="s">
        <v>244</v>
      </c>
      <c r="U141" s="24" t="s">
        <v>209</v>
      </c>
      <c r="V141" s="24"/>
    </row>
    <row r="142" spans="1:22" x14ac:dyDescent="0.25">
      <c r="A142" s="147" t="s">
        <v>5</v>
      </c>
      <c r="B142" s="50" t="s">
        <v>7</v>
      </c>
      <c r="C142" s="50" t="s">
        <v>10</v>
      </c>
      <c r="D142" s="113"/>
      <c r="E142" s="66">
        <v>2</v>
      </c>
      <c r="F142" s="66">
        <v>4</v>
      </c>
      <c r="G142" s="88">
        <v>42156</v>
      </c>
      <c r="H142" s="250"/>
      <c r="I142" s="290"/>
      <c r="T142" s="24" t="s">
        <v>244</v>
      </c>
      <c r="U142" s="24" t="s">
        <v>209</v>
      </c>
      <c r="V142" s="24"/>
    </row>
    <row r="143" spans="1:22" x14ac:dyDescent="0.25">
      <c r="A143" s="147" t="s">
        <v>5</v>
      </c>
      <c r="B143" s="50" t="s">
        <v>7</v>
      </c>
      <c r="C143" s="50" t="s">
        <v>11</v>
      </c>
      <c r="D143" s="113"/>
      <c r="E143" s="66">
        <v>2</v>
      </c>
      <c r="F143" s="66">
        <v>4</v>
      </c>
      <c r="G143" s="88">
        <v>42156</v>
      </c>
      <c r="H143" s="250"/>
      <c r="I143" s="290"/>
      <c r="T143" s="24" t="s">
        <v>244</v>
      </c>
      <c r="U143" s="24" t="s">
        <v>209</v>
      </c>
      <c r="V143" s="24"/>
    </row>
    <row r="144" spans="1:22" ht="15.75" thickBot="1" x14ac:dyDescent="0.3">
      <c r="A144" s="148" t="s">
        <v>5</v>
      </c>
      <c r="B144" s="51" t="s">
        <v>7</v>
      </c>
      <c r="C144" s="51" t="s">
        <v>12</v>
      </c>
      <c r="D144" s="114"/>
      <c r="E144" s="67">
        <v>1</v>
      </c>
      <c r="F144" s="67">
        <v>3</v>
      </c>
      <c r="G144" s="88">
        <v>42156</v>
      </c>
      <c r="H144" s="250"/>
      <c r="I144" s="290"/>
      <c r="T144" s="24" t="s">
        <v>244</v>
      </c>
      <c r="U144" s="24" t="s">
        <v>209</v>
      </c>
      <c r="V144" s="24"/>
    </row>
    <row r="145" spans="1:22" ht="15.75" thickTop="1" x14ac:dyDescent="0.25">
      <c r="A145" s="143" t="s">
        <v>5</v>
      </c>
      <c r="B145" s="46" t="s">
        <v>224</v>
      </c>
      <c r="C145" s="46" t="s">
        <v>13</v>
      </c>
      <c r="D145" s="115"/>
      <c r="E145" s="30">
        <v>2</v>
      </c>
      <c r="F145" s="30">
        <v>3</v>
      </c>
      <c r="G145" s="84">
        <v>42156</v>
      </c>
      <c r="H145" s="250"/>
      <c r="I145" s="290"/>
      <c r="T145" s="24" t="s">
        <v>244</v>
      </c>
      <c r="U145" s="24" t="s">
        <v>209</v>
      </c>
      <c r="V145" s="24"/>
    </row>
    <row r="146" spans="1:22" x14ac:dyDescent="0.25">
      <c r="A146" s="144" t="s">
        <v>5</v>
      </c>
      <c r="B146" s="47" t="s">
        <v>224</v>
      </c>
      <c r="C146" s="47" t="s">
        <v>14</v>
      </c>
      <c r="D146" s="116"/>
      <c r="E146" s="26">
        <v>2</v>
      </c>
      <c r="F146" s="26">
        <v>2</v>
      </c>
      <c r="G146" s="85">
        <v>42156</v>
      </c>
      <c r="H146" s="250"/>
      <c r="I146" s="290"/>
      <c r="T146" s="24" t="s">
        <v>244</v>
      </c>
      <c r="U146" s="24" t="s">
        <v>209</v>
      </c>
      <c r="V146" s="24"/>
    </row>
    <row r="147" spans="1:22" x14ac:dyDescent="0.25">
      <c r="A147" s="144" t="s">
        <v>5</v>
      </c>
      <c r="B147" s="47" t="s">
        <v>224</v>
      </c>
      <c r="C147" s="47" t="s">
        <v>15</v>
      </c>
      <c r="D147" s="116"/>
      <c r="E147" s="26">
        <v>1</v>
      </c>
      <c r="F147" s="26">
        <v>3</v>
      </c>
      <c r="G147" s="85">
        <v>42156</v>
      </c>
      <c r="H147" s="250"/>
      <c r="I147" s="290"/>
      <c r="T147" s="24" t="s">
        <v>244</v>
      </c>
      <c r="U147" s="24" t="s">
        <v>209</v>
      </c>
      <c r="V147" s="24"/>
    </row>
    <row r="148" spans="1:22" x14ac:dyDescent="0.25">
      <c r="A148" s="144" t="s">
        <v>5</v>
      </c>
      <c r="B148" s="47" t="s">
        <v>224</v>
      </c>
      <c r="C148" s="47" t="s">
        <v>16</v>
      </c>
      <c r="D148" s="116"/>
      <c r="E148" s="26">
        <v>1</v>
      </c>
      <c r="F148" s="26">
        <v>3</v>
      </c>
      <c r="G148" s="85">
        <v>42156</v>
      </c>
      <c r="H148" s="250"/>
      <c r="I148" s="290"/>
      <c r="T148" s="24" t="s">
        <v>244</v>
      </c>
      <c r="U148" s="24" t="s">
        <v>209</v>
      </c>
      <c r="V148" s="24"/>
    </row>
    <row r="149" spans="1:22" ht="15.75" thickBot="1" x14ac:dyDescent="0.3">
      <c r="A149" s="145" t="s">
        <v>5</v>
      </c>
      <c r="B149" s="48" t="s">
        <v>224</v>
      </c>
      <c r="C149" s="48" t="s">
        <v>17</v>
      </c>
      <c r="D149" s="111"/>
      <c r="E149" s="31">
        <v>2</v>
      </c>
      <c r="F149" s="31">
        <v>2</v>
      </c>
      <c r="G149" s="86">
        <v>42156</v>
      </c>
      <c r="H149" s="250"/>
      <c r="I149" s="290"/>
      <c r="T149" s="24" t="s">
        <v>244</v>
      </c>
      <c r="U149" s="24" t="s">
        <v>209</v>
      </c>
      <c r="V149" s="24"/>
    </row>
    <row r="150" spans="1:22" ht="15.75" thickTop="1" x14ac:dyDescent="0.25">
      <c r="A150" s="146" t="s">
        <v>5</v>
      </c>
      <c r="B150" s="49" t="s">
        <v>18</v>
      </c>
      <c r="C150" s="49" t="s">
        <v>19</v>
      </c>
      <c r="D150" s="112"/>
      <c r="E150" s="65">
        <v>2</v>
      </c>
      <c r="F150" s="65">
        <v>3</v>
      </c>
      <c r="G150" s="88">
        <v>42156</v>
      </c>
      <c r="H150" s="250"/>
      <c r="I150" s="290"/>
      <c r="T150" s="24" t="s">
        <v>244</v>
      </c>
      <c r="U150" s="24" t="s">
        <v>209</v>
      </c>
      <c r="V150" s="24"/>
    </row>
    <row r="151" spans="1:22" x14ac:dyDescent="0.25">
      <c r="A151" s="147" t="s">
        <v>5</v>
      </c>
      <c r="B151" s="50" t="s">
        <v>18</v>
      </c>
      <c r="C151" s="50" t="s">
        <v>20</v>
      </c>
      <c r="D151" s="113"/>
      <c r="E151" s="66">
        <v>1</v>
      </c>
      <c r="F151" s="66">
        <v>3</v>
      </c>
      <c r="G151" s="88">
        <v>42156</v>
      </c>
      <c r="H151" s="250"/>
      <c r="I151" s="290"/>
      <c r="T151" s="24" t="s">
        <v>244</v>
      </c>
      <c r="U151" s="24" t="s">
        <v>209</v>
      </c>
      <c r="V151" s="24"/>
    </row>
    <row r="152" spans="1:22" x14ac:dyDescent="0.25">
      <c r="A152" s="147" t="s">
        <v>5</v>
      </c>
      <c r="B152" s="50" t="s">
        <v>18</v>
      </c>
      <c r="C152" s="50" t="s">
        <v>21</v>
      </c>
      <c r="D152" s="113"/>
      <c r="E152" s="66">
        <v>2</v>
      </c>
      <c r="F152" s="66">
        <v>3</v>
      </c>
      <c r="G152" s="88">
        <v>42156</v>
      </c>
      <c r="H152" s="250"/>
      <c r="I152" s="290"/>
      <c r="T152" s="24" t="s">
        <v>244</v>
      </c>
      <c r="U152" s="24" t="s">
        <v>209</v>
      </c>
      <c r="V152" s="24"/>
    </row>
    <row r="153" spans="1:22" x14ac:dyDescent="0.25">
      <c r="A153" s="147" t="s">
        <v>5</v>
      </c>
      <c r="B153" s="50" t="s">
        <v>18</v>
      </c>
      <c r="C153" s="50" t="s">
        <v>22</v>
      </c>
      <c r="D153" s="113"/>
      <c r="E153" s="66">
        <v>1</v>
      </c>
      <c r="F153" s="66">
        <v>3</v>
      </c>
      <c r="G153" s="88">
        <v>42156</v>
      </c>
      <c r="H153" s="250"/>
      <c r="I153" s="290"/>
      <c r="T153" s="24" t="s">
        <v>244</v>
      </c>
      <c r="U153" s="24" t="s">
        <v>209</v>
      </c>
      <c r="V153" s="24"/>
    </row>
    <row r="154" spans="1:22" ht="15.75" thickBot="1" x14ac:dyDescent="0.3">
      <c r="A154" s="148" t="s">
        <v>5</v>
      </c>
      <c r="B154" s="51" t="s">
        <v>18</v>
      </c>
      <c r="C154" s="51" t="s">
        <v>23</v>
      </c>
      <c r="D154" s="114"/>
      <c r="E154" s="67">
        <v>2</v>
      </c>
      <c r="F154" s="67">
        <v>4</v>
      </c>
      <c r="G154" s="89">
        <v>42156</v>
      </c>
      <c r="H154" s="288"/>
      <c r="I154" s="290"/>
      <c r="T154" s="24" t="s">
        <v>244</v>
      </c>
      <c r="U154" s="24" t="s">
        <v>209</v>
      </c>
      <c r="V154" s="24"/>
    </row>
    <row r="155" spans="1:22" ht="15.75" thickTop="1" x14ac:dyDescent="0.25">
      <c r="T155" s="22"/>
      <c r="U155" s="22"/>
    </row>
    <row r="156" spans="1:22" x14ac:dyDescent="0.25">
      <c r="T156" s="22"/>
      <c r="U156" s="22"/>
    </row>
    <row r="157" spans="1:22" x14ac:dyDescent="0.25">
      <c r="T157" s="22"/>
      <c r="U157" s="22"/>
    </row>
    <row r="158" spans="1:22" x14ac:dyDescent="0.25">
      <c r="T158" s="22"/>
      <c r="U158" s="22"/>
    </row>
    <row r="159" spans="1:22" x14ac:dyDescent="0.25">
      <c r="T159" s="22"/>
      <c r="U159" s="22"/>
    </row>
    <row r="160" spans="1:22" x14ac:dyDescent="0.25">
      <c r="T160" s="22"/>
      <c r="U160" s="22"/>
    </row>
    <row r="161" spans="20:21" x14ac:dyDescent="0.25">
      <c r="T161" s="22"/>
      <c r="U161" s="22"/>
    </row>
    <row r="162" spans="20:21" x14ac:dyDescent="0.25">
      <c r="T162" s="22"/>
      <c r="U162" s="22"/>
    </row>
    <row r="163" spans="20:21" x14ac:dyDescent="0.25">
      <c r="T163" s="22"/>
      <c r="U163" s="22"/>
    </row>
    <row r="164" spans="20:21" x14ac:dyDescent="0.25">
      <c r="T164" s="22"/>
      <c r="U164" s="22"/>
    </row>
    <row r="165" spans="20:21" x14ac:dyDescent="0.25">
      <c r="T165" s="22"/>
      <c r="U165" s="22"/>
    </row>
    <row r="166" spans="20:21" x14ac:dyDescent="0.25">
      <c r="T166" s="22"/>
      <c r="U166" s="22"/>
    </row>
    <row r="167" spans="20:21" x14ac:dyDescent="0.25">
      <c r="T167" s="22"/>
      <c r="U167" s="22"/>
    </row>
    <row r="168" spans="20:21" x14ac:dyDescent="0.25">
      <c r="T168" s="22"/>
      <c r="U168" s="22"/>
    </row>
    <row r="169" spans="20:21" x14ac:dyDescent="0.25">
      <c r="T169" s="22"/>
      <c r="U169" s="22"/>
    </row>
    <row r="170" spans="20:21" x14ac:dyDescent="0.25">
      <c r="T170" s="22"/>
      <c r="U170" s="22"/>
    </row>
    <row r="171" spans="20:21" x14ac:dyDescent="0.25">
      <c r="T171" s="22"/>
      <c r="U171" s="22"/>
    </row>
    <row r="172" spans="20:21" x14ac:dyDescent="0.25">
      <c r="T172" s="22"/>
      <c r="U172" s="22"/>
    </row>
    <row r="173" spans="20:21" x14ac:dyDescent="0.25">
      <c r="T173" s="22"/>
      <c r="U173" s="22"/>
    </row>
    <row r="174" spans="20:21" x14ac:dyDescent="0.25">
      <c r="T174" s="22"/>
      <c r="U174" s="22"/>
    </row>
    <row r="175" spans="20:21" x14ac:dyDescent="0.25">
      <c r="T175" s="22"/>
      <c r="U175" s="22"/>
    </row>
    <row r="176" spans="20:21" x14ac:dyDescent="0.25">
      <c r="T176" s="22"/>
      <c r="U176" s="22"/>
    </row>
    <row r="177" spans="20:22" x14ac:dyDescent="0.25">
      <c r="T177" s="22"/>
      <c r="U177" s="22"/>
    </row>
    <row r="178" spans="20:22" x14ac:dyDescent="0.25">
      <c r="T178" s="22"/>
      <c r="U178" s="22"/>
    </row>
    <row r="179" spans="20:22" x14ac:dyDescent="0.25">
      <c r="T179" s="22"/>
      <c r="U179" s="22"/>
    </row>
    <row r="180" spans="20:22" x14ac:dyDescent="0.25">
      <c r="T180" s="22"/>
      <c r="U180" s="22"/>
    </row>
    <row r="181" spans="20:22" x14ac:dyDescent="0.25">
      <c r="T181" s="22"/>
      <c r="U181" s="22"/>
    </row>
    <row r="182" spans="20:22" x14ac:dyDescent="0.25">
      <c r="T182" s="22"/>
      <c r="U182" s="22"/>
    </row>
    <row r="183" spans="20:22" x14ac:dyDescent="0.25">
      <c r="T183" s="22"/>
      <c r="U183" s="22"/>
    </row>
    <row r="184" spans="20:22" x14ac:dyDescent="0.25">
      <c r="T184" s="22"/>
      <c r="U184" s="22"/>
    </row>
    <row r="185" spans="20:22" x14ac:dyDescent="0.25">
      <c r="T185" s="22"/>
      <c r="U185" s="22"/>
    </row>
    <row r="186" spans="20:22" x14ac:dyDescent="0.25">
      <c r="T186" s="22"/>
      <c r="U186" s="22"/>
    </row>
    <row r="187" spans="20:22" x14ac:dyDescent="0.25">
      <c r="T187" s="23"/>
      <c r="U187" s="23"/>
      <c r="V187" s="17"/>
    </row>
    <row r="188" spans="20:22" x14ac:dyDescent="0.25">
      <c r="T188" s="23"/>
      <c r="U188" s="23"/>
      <c r="V188" s="17"/>
    </row>
    <row r="189" spans="20:22" x14ac:dyDescent="0.25">
      <c r="T189" s="23"/>
      <c r="U189" s="23"/>
      <c r="V189" s="17"/>
    </row>
    <row r="190" spans="20:22" x14ac:dyDescent="0.25">
      <c r="T190" s="23"/>
      <c r="U190" s="23"/>
      <c r="V190" s="17"/>
    </row>
    <row r="191" spans="20:22" x14ac:dyDescent="0.25">
      <c r="T191" s="23"/>
      <c r="U191" s="23"/>
      <c r="V191" s="17"/>
    </row>
    <row r="192" spans="20:22" x14ac:dyDescent="0.25">
      <c r="T192" s="23"/>
      <c r="U192" s="23"/>
      <c r="V192" s="17"/>
    </row>
    <row r="193" spans="20:22" x14ac:dyDescent="0.25">
      <c r="T193" s="23"/>
      <c r="U193" s="23"/>
      <c r="V193" s="17"/>
    </row>
    <row r="194" spans="20:22" x14ac:dyDescent="0.25">
      <c r="T194" s="22"/>
      <c r="U194" s="22"/>
    </row>
    <row r="195" spans="20:22" x14ac:dyDescent="0.25">
      <c r="T195" s="22"/>
      <c r="U195" s="22"/>
    </row>
    <row r="196" spans="20:22" x14ac:dyDescent="0.25">
      <c r="T196" s="22"/>
      <c r="U196" s="22"/>
    </row>
    <row r="197" spans="20:22" x14ac:dyDescent="0.25">
      <c r="T197" s="22"/>
      <c r="U197" s="22"/>
    </row>
    <row r="198" spans="20:22" x14ac:dyDescent="0.25">
      <c r="T198" s="22"/>
      <c r="U198" s="22"/>
    </row>
    <row r="199" spans="20:22" x14ac:dyDescent="0.25">
      <c r="T199" s="22"/>
      <c r="U199" s="22"/>
    </row>
    <row r="200" spans="20:22" x14ac:dyDescent="0.25">
      <c r="T200" s="22"/>
      <c r="U200" s="22"/>
    </row>
    <row r="201" spans="20:22" x14ac:dyDescent="0.25">
      <c r="T201" s="22"/>
      <c r="U201" s="22"/>
    </row>
    <row r="202" spans="20:22" x14ac:dyDescent="0.25">
      <c r="T202" s="22"/>
      <c r="U202" s="22"/>
    </row>
    <row r="203" spans="20:22" x14ac:dyDescent="0.25">
      <c r="T203" s="22"/>
      <c r="U203" s="22"/>
    </row>
    <row r="204" spans="20:22" x14ac:dyDescent="0.25">
      <c r="T204" s="22"/>
      <c r="U204" s="22"/>
    </row>
    <row r="205" spans="20:22" x14ac:dyDescent="0.25">
      <c r="T205" s="22"/>
      <c r="U205" s="22"/>
    </row>
    <row r="206" spans="20:22" x14ac:dyDescent="0.25">
      <c r="T206" s="22"/>
      <c r="U206" s="22"/>
    </row>
    <row r="207" spans="20:22" x14ac:dyDescent="0.25">
      <c r="T207" s="22"/>
      <c r="U207" s="22"/>
    </row>
    <row r="208" spans="20:22" x14ac:dyDescent="0.25">
      <c r="T208" s="22"/>
      <c r="U208" s="22"/>
    </row>
    <row r="209" spans="20:21" x14ac:dyDescent="0.25">
      <c r="T209" s="22"/>
      <c r="U209" s="22"/>
    </row>
    <row r="210" spans="20:21" x14ac:dyDescent="0.25">
      <c r="T210" s="22"/>
      <c r="U210" s="22"/>
    </row>
    <row r="211" spans="20:21" x14ac:dyDescent="0.25">
      <c r="T211" s="22"/>
      <c r="U211" s="22"/>
    </row>
    <row r="212" spans="20:21" x14ac:dyDescent="0.25">
      <c r="T212" s="22"/>
      <c r="U212" s="22"/>
    </row>
    <row r="213" spans="20:21" x14ac:dyDescent="0.25">
      <c r="T213" s="22"/>
      <c r="U213" s="22"/>
    </row>
    <row r="214" spans="20:21" x14ac:dyDescent="0.25">
      <c r="T214" s="22"/>
      <c r="U214" s="22"/>
    </row>
    <row r="215" spans="20:21" x14ac:dyDescent="0.25">
      <c r="T215" s="22"/>
      <c r="U215" s="22"/>
    </row>
    <row r="216" spans="20:21" x14ac:dyDescent="0.25">
      <c r="T216" s="22"/>
      <c r="U216" s="22"/>
    </row>
    <row r="217" spans="20:21" x14ac:dyDescent="0.25">
      <c r="T217" s="22"/>
      <c r="U217" s="22"/>
    </row>
    <row r="218" spans="20:21" x14ac:dyDescent="0.25">
      <c r="T218" s="22"/>
      <c r="U218" s="22"/>
    </row>
    <row r="219" spans="20:21" x14ac:dyDescent="0.25">
      <c r="T219" s="22"/>
      <c r="U219" s="22"/>
    </row>
    <row r="220" spans="20:21" x14ac:dyDescent="0.25">
      <c r="T220" s="22"/>
      <c r="U220" s="22"/>
    </row>
    <row r="221" spans="20:21" x14ac:dyDescent="0.25">
      <c r="T221" s="22"/>
      <c r="U221" s="22"/>
    </row>
    <row r="222" spans="20:21" x14ac:dyDescent="0.25">
      <c r="T222" s="22"/>
      <c r="U222" s="22"/>
    </row>
    <row r="223" spans="20:21" x14ac:dyDescent="0.25">
      <c r="T223" s="22"/>
      <c r="U223" s="22"/>
    </row>
    <row r="224" spans="20:21" x14ac:dyDescent="0.25">
      <c r="T224" s="22"/>
      <c r="U224" s="22"/>
    </row>
    <row r="225" spans="20:21" x14ac:dyDescent="0.25">
      <c r="T225" s="22"/>
      <c r="U225" s="22"/>
    </row>
    <row r="226" spans="20:21" x14ac:dyDescent="0.25">
      <c r="T226" s="22"/>
      <c r="U226" s="22"/>
    </row>
    <row r="227" spans="20:21" x14ac:dyDescent="0.25">
      <c r="T227" s="22"/>
      <c r="U227" s="22"/>
    </row>
    <row r="228" spans="20:21" x14ac:dyDescent="0.25">
      <c r="T228" s="22"/>
      <c r="U228" s="22"/>
    </row>
    <row r="229" spans="20:21" x14ac:dyDescent="0.25">
      <c r="T229" s="22"/>
      <c r="U229" s="22"/>
    </row>
    <row r="230" spans="20:21" x14ac:dyDescent="0.25">
      <c r="T230" s="22"/>
      <c r="U230" s="22"/>
    </row>
    <row r="231" spans="20:21" x14ac:dyDescent="0.25">
      <c r="T231" s="22"/>
      <c r="U231" s="22"/>
    </row>
    <row r="232" spans="20:21" x14ac:dyDescent="0.25">
      <c r="T232" s="22"/>
      <c r="U232" s="22"/>
    </row>
    <row r="233" spans="20:21" x14ac:dyDescent="0.25">
      <c r="T233" s="22"/>
      <c r="U233" s="22"/>
    </row>
    <row r="234" spans="20:21" x14ac:dyDescent="0.25">
      <c r="T234" s="22"/>
      <c r="U234" s="22"/>
    </row>
    <row r="235" spans="20:21" x14ac:dyDescent="0.25">
      <c r="T235" s="22"/>
      <c r="U235" s="22"/>
    </row>
    <row r="236" spans="20:21" x14ac:dyDescent="0.25">
      <c r="T236" s="22"/>
      <c r="U236" s="22"/>
    </row>
    <row r="237" spans="20:21" x14ac:dyDescent="0.25">
      <c r="T237" s="22"/>
      <c r="U237" s="22"/>
    </row>
    <row r="238" spans="20:21" x14ac:dyDescent="0.25">
      <c r="T238" s="22"/>
      <c r="U238" s="22"/>
    </row>
    <row r="239" spans="20:21" x14ac:dyDescent="0.25">
      <c r="T239" s="22"/>
      <c r="U239" s="22"/>
    </row>
    <row r="240" spans="20:21" x14ac:dyDescent="0.25">
      <c r="T240" s="22"/>
      <c r="U240" s="22"/>
    </row>
    <row r="241" spans="20:21" x14ac:dyDescent="0.25">
      <c r="T241" s="22"/>
      <c r="U241" s="22"/>
    </row>
    <row r="242" spans="20:21" x14ac:dyDescent="0.25">
      <c r="T242" s="22"/>
      <c r="U242" s="22"/>
    </row>
    <row r="243" spans="20:21" x14ac:dyDescent="0.25">
      <c r="T243" s="22"/>
      <c r="U243" s="22"/>
    </row>
    <row r="244" spans="20:21" x14ac:dyDescent="0.25">
      <c r="T244" s="22"/>
      <c r="U244" s="22"/>
    </row>
    <row r="245" spans="20:21" x14ac:dyDescent="0.25">
      <c r="T245" s="22"/>
      <c r="U245" s="22"/>
    </row>
    <row r="246" spans="20:21" x14ac:dyDescent="0.25">
      <c r="T246" s="22"/>
      <c r="U246" s="22"/>
    </row>
    <row r="247" spans="20:21" x14ac:dyDescent="0.25">
      <c r="T247" s="22"/>
      <c r="U247" s="22"/>
    </row>
    <row r="248" spans="20:21" x14ac:dyDescent="0.25">
      <c r="T248" s="22"/>
      <c r="U248" s="22"/>
    </row>
    <row r="249" spans="20:21" x14ac:dyDescent="0.25">
      <c r="T249" s="22"/>
      <c r="U249" s="22"/>
    </row>
    <row r="250" spans="20:21" x14ac:dyDescent="0.25">
      <c r="T250" s="22"/>
      <c r="U250" s="22"/>
    </row>
    <row r="251" spans="20:21" x14ac:dyDescent="0.25">
      <c r="T251" s="22"/>
      <c r="U251" s="22"/>
    </row>
    <row r="252" spans="20:21" x14ac:dyDescent="0.25">
      <c r="T252" s="22"/>
      <c r="U252" s="22"/>
    </row>
    <row r="253" spans="20:21" x14ac:dyDescent="0.25">
      <c r="T253" s="22"/>
      <c r="U253" s="22"/>
    </row>
    <row r="254" spans="20:21" x14ac:dyDescent="0.25">
      <c r="T254" s="22"/>
      <c r="U254" s="22"/>
    </row>
    <row r="255" spans="20:21" x14ac:dyDescent="0.25">
      <c r="T255" s="22"/>
      <c r="U255" s="22"/>
    </row>
    <row r="256" spans="20:21" x14ac:dyDescent="0.25">
      <c r="T256" s="22"/>
      <c r="U256" s="22"/>
    </row>
    <row r="257" spans="20:21" x14ac:dyDescent="0.25">
      <c r="T257" s="22"/>
      <c r="U257" s="22"/>
    </row>
    <row r="258" spans="20:21" x14ac:dyDescent="0.25">
      <c r="T258" s="22"/>
      <c r="U258" s="22"/>
    </row>
    <row r="259" spans="20:21" x14ac:dyDescent="0.25">
      <c r="T259" s="22"/>
      <c r="U259" s="22"/>
    </row>
    <row r="260" spans="20:21" x14ac:dyDescent="0.25">
      <c r="T260" s="22"/>
      <c r="U260" s="22"/>
    </row>
    <row r="261" spans="20:21" x14ac:dyDescent="0.25">
      <c r="T261" s="22"/>
      <c r="U261" s="22"/>
    </row>
    <row r="262" spans="20:21" x14ac:dyDescent="0.25">
      <c r="T262" s="22"/>
      <c r="U262" s="22"/>
    </row>
    <row r="263" spans="20:21" x14ac:dyDescent="0.25">
      <c r="T263" s="22"/>
      <c r="U263" s="22"/>
    </row>
    <row r="264" spans="20:21" x14ac:dyDescent="0.25">
      <c r="T264" s="22"/>
      <c r="U264" s="22"/>
    </row>
    <row r="265" spans="20:21" x14ac:dyDescent="0.25">
      <c r="T265" s="22"/>
      <c r="U265" s="22"/>
    </row>
    <row r="266" spans="20:21" x14ac:dyDescent="0.25">
      <c r="T266" s="22"/>
      <c r="U266" s="22"/>
    </row>
    <row r="267" spans="20:21" x14ac:dyDescent="0.25">
      <c r="T267" s="22"/>
      <c r="U267" s="22"/>
    </row>
    <row r="268" spans="20:21" x14ac:dyDescent="0.25">
      <c r="T268" s="22"/>
      <c r="U268" s="22"/>
    </row>
    <row r="269" spans="20:21" x14ac:dyDescent="0.25">
      <c r="T269" s="22"/>
      <c r="U269" s="22"/>
    </row>
    <row r="270" spans="20:21" x14ac:dyDescent="0.25">
      <c r="T270" s="22"/>
      <c r="U270" s="22"/>
    </row>
    <row r="271" spans="20:21" x14ac:dyDescent="0.25">
      <c r="T271" s="22"/>
      <c r="U271" s="22"/>
    </row>
    <row r="272" spans="20:21" x14ac:dyDescent="0.25">
      <c r="T272" s="22"/>
      <c r="U272" s="22"/>
    </row>
    <row r="273" spans="20:21" x14ac:dyDescent="0.25">
      <c r="T273" s="22"/>
      <c r="U273" s="22"/>
    </row>
    <row r="274" spans="20:21" x14ac:dyDescent="0.25">
      <c r="T274" s="22"/>
      <c r="U274" s="22"/>
    </row>
    <row r="275" spans="20:21" x14ac:dyDescent="0.25">
      <c r="T275" s="22"/>
      <c r="U275" s="22"/>
    </row>
    <row r="276" spans="20:21" x14ac:dyDescent="0.25">
      <c r="T276" s="22"/>
      <c r="U276" s="22"/>
    </row>
    <row r="277" spans="20:21" x14ac:dyDescent="0.25">
      <c r="T277" s="22"/>
      <c r="U277" s="22"/>
    </row>
    <row r="278" spans="20:21" x14ac:dyDescent="0.25">
      <c r="T278" s="22"/>
      <c r="U278" s="22"/>
    </row>
    <row r="279" spans="20:21" x14ac:dyDescent="0.25">
      <c r="T279" s="22"/>
      <c r="U279" s="22"/>
    </row>
    <row r="280" spans="20:21" x14ac:dyDescent="0.25">
      <c r="T280" s="22"/>
      <c r="U280" s="22"/>
    </row>
    <row r="281" spans="20:21" x14ac:dyDescent="0.25">
      <c r="T281" s="22"/>
      <c r="U281" s="22"/>
    </row>
    <row r="282" spans="20:21" x14ac:dyDescent="0.25">
      <c r="T282" s="22"/>
      <c r="U282" s="22"/>
    </row>
    <row r="283" spans="20:21" x14ac:dyDescent="0.25">
      <c r="T283" s="22"/>
      <c r="U283" s="22"/>
    </row>
    <row r="284" spans="20:21" x14ac:dyDescent="0.25">
      <c r="T284" s="22"/>
      <c r="U284" s="22"/>
    </row>
    <row r="285" spans="20:21" x14ac:dyDescent="0.25">
      <c r="T285" s="22"/>
      <c r="U285" s="22"/>
    </row>
    <row r="286" spans="20:21" x14ac:dyDescent="0.25">
      <c r="T286" s="22"/>
      <c r="U286" s="22"/>
    </row>
    <row r="287" spans="20:21" x14ac:dyDescent="0.25">
      <c r="T287" s="22"/>
      <c r="U287" s="22"/>
    </row>
    <row r="288" spans="20:21" x14ac:dyDescent="0.25">
      <c r="T288" s="22"/>
      <c r="U288" s="22"/>
    </row>
    <row r="289" spans="20:21" x14ac:dyDescent="0.25">
      <c r="T289" s="22"/>
      <c r="U289" s="22"/>
    </row>
    <row r="290" spans="20:21" x14ac:dyDescent="0.25">
      <c r="T290" s="22"/>
      <c r="U290" s="22"/>
    </row>
    <row r="291" spans="20:21" x14ac:dyDescent="0.25">
      <c r="T291" s="22"/>
      <c r="U291" s="22"/>
    </row>
    <row r="292" spans="20:21" x14ac:dyDescent="0.25">
      <c r="T292" s="22"/>
      <c r="U292" s="22"/>
    </row>
    <row r="293" spans="20:21" x14ac:dyDescent="0.25">
      <c r="T293" s="22"/>
      <c r="U293" s="22"/>
    </row>
    <row r="294" spans="20:21" x14ac:dyDescent="0.25">
      <c r="T294" s="22"/>
      <c r="U294" s="22"/>
    </row>
    <row r="295" spans="20:21" x14ac:dyDescent="0.25">
      <c r="T295" s="22"/>
      <c r="U295" s="22"/>
    </row>
    <row r="296" spans="20:21" x14ac:dyDescent="0.25">
      <c r="T296" s="22"/>
      <c r="U296" s="22"/>
    </row>
    <row r="297" spans="20:21" x14ac:dyDescent="0.25">
      <c r="T297" s="22"/>
      <c r="U297" s="22"/>
    </row>
    <row r="298" spans="20:21" x14ac:dyDescent="0.25">
      <c r="T298" s="22"/>
      <c r="U298" s="22"/>
    </row>
    <row r="299" spans="20:21" x14ac:dyDescent="0.25">
      <c r="T299" s="22"/>
      <c r="U299" s="22"/>
    </row>
    <row r="300" spans="20:21" x14ac:dyDescent="0.25">
      <c r="T300" s="22"/>
      <c r="U300" s="22"/>
    </row>
    <row r="301" spans="20:21" x14ac:dyDescent="0.25">
      <c r="T301" s="22"/>
      <c r="U301" s="22"/>
    </row>
    <row r="302" spans="20:21" x14ac:dyDescent="0.25">
      <c r="T302" s="22"/>
      <c r="U302" s="22"/>
    </row>
    <row r="303" spans="20:21" x14ac:dyDescent="0.25">
      <c r="T303" s="22"/>
      <c r="U303" s="22"/>
    </row>
    <row r="304" spans="20:21" x14ac:dyDescent="0.25">
      <c r="T304" s="22"/>
      <c r="U304" s="22"/>
    </row>
    <row r="305" spans="20:21" x14ac:dyDescent="0.25">
      <c r="T305" s="22"/>
      <c r="U305" s="22"/>
    </row>
    <row r="306" spans="20:21" x14ac:dyDescent="0.25">
      <c r="T306" s="22"/>
      <c r="U306" s="22"/>
    </row>
    <row r="307" spans="20:21" x14ac:dyDescent="0.25">
      <c r="T307" s="22"/>
      <c r="U307" s="22"/>
    </row>
    <row r="308" spans="20:21" x14ac:dyDescent="0.25">
      <c r="T308" s="22"/>
      <c r="U308" s="22"/>
    </row>
    <row r="309" spans="20:21" x14ac:dyDescent="0.25">
      <c r="T309" s="22"/>
      <c r="U309" s="22"/>
    </row>
    <row r="310" spans="20:21" x14ac:dyDescent="0.25">
      <c r="T310" s="22"/>
      <c r="U310" s="22"/>
    </row>
    <row r="311" spans="20:21" x14ac:dyDescent="0.25">
      <c r="T311" s="22"/>
      <c r="U311" s="22"/>
    </row>
    <row r="312" spans="20:21" x14ac:dyDescent="0.25">
      <c r="T312" s="22"/>
      <c r="U312" s="22"/>
    </row>
    <row r="313" spans="20:21" x14ac:dyDescent="0.25">
      <c r="T313" s="22"/>
      <c r="U313" s="22"/>
    </row>
    <row r="314" spans="20:21" x14ac:dyDescent="0.25">
      <c r="T314" s="22"/>
      <c r="U314" s="22"/>
    </row>
    <row r="315" spans="20:21" x14ac:dyDescent="0.25">
      <c r="T315" s="22"/>
      <c r="U315" s="22"/>
    </row>
    <row r="316" spans="20:21" x14ac:dyDescent="0.25">
      <c r="T316" s="22"/>
      <c r="U316" s="22"/>
    </row>
    <row r="317" spans="20:21" x14ac:dyDescent="0.25">
      <c r="T317" s="22"/>
      <c r="U317" s="22"/>
    </row>
    <row r="318" spans="20:21" x14ac:dyDescent="0.25">
      <c r="T318" s="22"/>
      <c r="U318" s="22"/>
    </row>
    <row r="319" spans="20:21" x14ac:dyDescent="0.25">
      <c r="T319" s="22"/>
      <c r="U319" s="22"/>
    </row>
    <row r="320" spans="20:21" x14ac:dyDescent="0.25">
      <c r="T320" s="22"/>
      <c r="U320" s="22"/>
    </row>
    <row r="321" spans="20:22" x14ac:dyDescent="0.25">
      <c r="T321" s="22"/>
      <c r="U321" s="22"/>
    </row>
    <row r="322" spans="20:22" x14ac:dyDescent="0.25">
      <c r="T322" s="22"/>
      <c r="U322" s="22"/>
    </row>
    <row r="323" spans="20:22" x14ac:dyDescent="0.25">
      <c r="T323" s="22"/>
      <c r="U323" s="22"/>
    </row>
    <row r="324" spans="20:22" x14ac:dyDescent="0.25">
      <c r="T324" s="22"/>
      <c r="U324" s="22"/>
    </row>
    <row r="325" spans="20:22" x14ac:dyDescent="0.25">
      <c r="T325" s="22"/>
      <c r="U325" s="22"/>
    </row>
    <row r="326" spans="20:22" x14ac:dyDescent="0.25">
      <c r="T326" s="22"/>
      <c r="U326" s="22"/>
    </row>
    <row r="327" spans="20:22" x14ac:dyDescent="0.25">
      <c r="T327" s="23"/>
      <c r="U327" s="23"/>
      <c r="V327" s="17"/>
    </row>
    <row r="328" spans="20:22" x14ac:dyDescent="0.25">
      <c r="T328" s="23"/>
      <c r="U328" s="23"/>
      <c r="V328" s="17"/>
    </row>
    <row r="329" spans="20:22" x14ac:dyDescent="0.25">
      <c r="T329" s="23"/>
      <c r="U329" s="23"/>
      <c r="V329" s="17"/>
    </row>
    <row r="330" spans="20:22" x14ac:dyDescent="0.25">
      <c r="T330" s="23"/>
      <c r="U330" s="23"/>
      <c r="V330" s="17"/>
    </row>
    <row r="331" spans="20:22" x14ac:dyDescent="0.25">
      <c r="T331" s="23"/>
      <c r="U331" s="23"/>
      <c r="V331" s="17"/>
    </row>
    <row r="332" spans="20:22" x14ac:dyDescent="0.25">
      <c r="T332" s="23"/>
      <c r="U332" s="23"/>
      <c r="V332" s="17"/>
    </row>
    <row r="333" spans="20:22" x14ac:dyDescent="0.25">
      <c r="T333" s="23"/>
      <c r="U333" s="23"/>
      <c r="V333" s="17"/>
    </row>
    <row r="334" spans="20:22" x14ac:dyDescent="0.25">
      <c r="T334" s="22"/>
      <c r="U334" s="22"/>
    </row>
    <row r="335" spans="20:22" x14ac:dyDescent="0.25">
      <c r="T335" s="22"/>
      <c r="U335" s="22"/>
    </row>
    <row r="336" spans="20:22" x14ac:dyDescent="0.25">
      <c r="T336" s="22"/>
      <c r="U336" s="22"/>
    </row>
    <row r="337" spans="20:22" x14ac:dyDescent="0.25">
      <c r="T337" s="22"/>
      <c r="U337" s="22"/>
    </row>
    <row r="338" spans="20:22" x14ac:dyDescent="0.25">
      <c r="T338" s="22"/>
      <c r="U338" s="22"/>
    </row>
    <row r="339" spans="20:22" x14ac:dyDescent="0.25">
      <c r="T339" s="22"/>
      <c r="U339" s="22"/>
    </row>
    <row r="340" spans="20:22" x14ac:dyDescent="0.25">
      <c r="T340" s="22"/>
      <c r="U340" s="22"/>
    </row>
    <row r="341" spans="20:22" x14ac:dyDescent="0.25">
      <c r="T341" s="23"/>
      <c r="U341" s="23"/>
      <c r="V341" s="17"/>
    </row>
    <row r="342" spans="20:22" x14ac:dyDescent="0.25">
      <c r="T342" s="23"/>
      <c r="U342" s="23"/>
      <c r="V342" s="17"/>
    </row>
    <row r="343" spans="20:22" x14ac:dyDescent="0.25">
      <c r="T343" s="23"/>
      <c r="U343" s="23"/>
      <c r="V343" s="17"/>
    </row>
    <row r="344" spans="20:22" x14ac:dyDescent="0.25">
      <c r="T344" s="23"/>
      <c r="U344" s="23"/>
      <c r="V344" s="17"/>
    </row>
    <row r="345" spans="20:22" x14ac:dyDescent="0.25">
      <c r="T345" s="23"/>
      <c r="U345" s="23"/>
      <c r="V345" s="17"/>
    </row>
    <row r="346" spans="20:22" x14ac:dyDescent="0.25">
      <c r="T346" s="23"/>
      <c r="U346" s="23"/>
      <c r="V346" s="17"/>
    </row>
    <row r="347" spans="20:22" x14ac:dyDescent="0.25">
      <c r="T347" s="23"/>
      <c r="U347" s="23"/>
      <c r="V347" s="17"/>
    </row>
    <row r="348" spans="20:22" x14ac:dyDescent="0.25">
      <c r="T348" s="23"/>
      <c r="U348" s="23"/>
      <c r="V348" s="17"/>
    </row>
    <row r="349" spans="20:22" x14ac:dyDescent="0.25">
      <c r="T349" s="23"/>
      <c r="U349" s="23"/>
      <c r="V349" s="17"/>
    </row>
    <row r="350" spans="20:22" x14ac:dyDescent="0.25">
      <c r="T350" s="23"/>
      <c r="U350" s="23"/>
      <c r="V350" s="17"/>
    </row>
    <row r="351" spans="20:22" x14ac:dyDescent="0.25">
      <c r="T351" s="23"/>
      <c r="U351" s="23"/>
      <c r="V351" s="17"/>
    </row>
    <row r="352" spans="20:22" x14ac:dyDescent="0.25">
      <c r="T352" s="23"/>
      <c r="U352" s="23"/>
      <c r="V352" s="17"/>
    </row>
    <row r="353" spans="20:22" x14ac:dyDescent="0.25">
      <c r="T353" s="23"/>
      <c r="U353" s="23"/>
      <c r="V353" s="17"/>
    </row>
    <row r="354" spans="20:22" x14ac:dyDescent="0.25">
      <c r="T354" s="23"/>
      <c r="U354" s="23"/>
      <c r="V354" s="17"/>
    </row>
    <row r="355" spans="20:22" x14ac:dyDescent="0.25">
      <c r="T355" s="22"/>
      <c r="U355" s="22"/>
    </row>
    <row r="356" spans="20:22" x14ac:dyDescent="0.25">
      <c r="T356" s="22"/>
      <c r="U356" s="22"/>
    </row>
    <row r="357" spans="20:22" x14ac:dyDescent="0.25">
      <c r="T357" s="22"/>
      <c r="U357" s="22"/>
    </row>
    <row r="358" spans="20:22" x14ac:dyDescent="0.25">
      <c r="T358" s="22"/>
      <c r="U358" s="22"/>
    </row>
    <row r="359" spans="20:22" x14ac:dyDescent="0.25">
      <c r="T359" s="22"/>
      <c r="U359" s="22"/>
    </row>
    <row r="360" spans="20:22" x14ac:dyDescent="0.25">
      <c r="T360" s="22"/>
      <c r="U360" s="22"/>
    </row>
    <row r="361" spans="20:22" x14ac:dyDescent="0.25">
      <c r="T361" s="22"/>
      <c r="U361" s="22"/>
    </row>
    <row r="362" spans="20:22" x14ac:dyDescent="0.25">
      <c r="T362" s="22"/>
      <c r="U362" s="22"/>
    </row>
    <row r="363" spans="20:22" x14ac:dyDescent="0.25">
      <c r="T363" s="22"/>
      <c r="U363" s="22"/>
    </row>
    <row r="364" spans="20:22" x14ac:dyDescent="0.25">
      <c r="T364" s="22"/>
      <c r="U364" s="22"/>
    </row>
    <row r="365" spans="20:22" x14ac:dyDescent="0.25">
      <c r="T365" s="22"/>
      <c r="U365" s="22"/>
    </row>
    <row r="366" spans="20:22" x14ac:dyDescent="0.25">
      <c r="T366" s="22"/>
      <c r="U366" s="22"/>
    </row>
    <row r="367" spans="20:22" x14ac:dyDescent="0.25">
      <c r="T367" s="22"/>
      <c r="U367" s="22"/>
    </row>
    <row r="368" spans="20:22" x14ac:dyDescent="0.25">
      <c r="T368" s="22"/>
      <c r="U368" s="22"/>
    </row>
    <row r="369" spans="20:21" x14ac:dyDescent="0.25">
      <c r="T369" s="22"/>
      <c r="U369" s="22"/>
    </row>
    <row r="370" spans="20:21" x14ac:dyDescent="0.25">
      <c r="T370" s="22"/>
      <c r="U370" s="22"/>
    </row>
    <row r="371" spans="20:21" x14ac:dyDescent="0.25">
      <c r="T371" s="22"/>
      <c r="U371" s="22"/>
    </row>
    <row r="372" spans="20:21" x14ac:dyDescent="0.25">
      <c r="T372" s="22"/>
      <c r="U372" s="22"/>
    </row>
    <row r="373" spans="20:21" x14ac:dyDescent="0.25">
      <c r="T373" s="22"/>
      <c r="U373" s="22"/>
    </row>
    <row r="374" spans="20:21" x14ac:dyDescent="0.25">
      <c r="T374" s="22"/>
      <c r="U374" s="22"/>
    </row>
    <row r="375" spans="20:21" x14ac:dyDescent="0.25">
      <c r="T375" s="22"/>
      <c r="U375" s="22"/>
    </row>
    <row r="376" spans="20:21" x14ac:dyDescent="0.25">
      <c r="T376" s="22"/>
      <c r="U376" s="22"/>
    </row>
    <row r="377" spans="20:21" x14ac:dyDescent="0.25">
      <c r="T377" s="22"/>
      <c r="U377" s="22"/>
    </row>
    <row r="378" spans="20:21" x14ac:dyDescent="0.25">
      <c r="T378" s="22"/>
      <c r="U378" s="22"/>
    </row>
    <row r="379" spans="20:21" x14ac:dyDescent="0.25">
      <c r="T379" s="22"/>
      <c r="U379" s="22"/>
    </row>
    <row r="380" spans="20:21" x14ac:dyDescent="0.25">
      <c r="T380" s="22"/>
      <c r="U380" s="22"/>
    </row>
    <row r="381" spans="20:21" x14ac:dyDescent="0.25">
      <c r="T381" s="22"/>
      <c r="U381" s="22"/>
    </row>
    <row r="382" spans="20:21" x14ac:dyDescent="0.25">
      <c r="T382" s="22"/>
      <c r="U382" s="22"/>
    </row>
    <row r="383" spans="20:21" x14ac:dyDescent="0.25">
      <c r="T383" s="22"/>
      <c r="U383" s="22"/>
    </row>
    <row r="384" spans="20:21" x14ac:dyDescent="0.25">
      <c r="T384" s="22"/>
      <c r="U384" s="22"/>
    </row>
    <row r="385" spans="20:21" x14ac:dyDescent="0.25">
      <c r="T385" s="22"/>
      <c r="U385" s="22"/>
    </row>
    <row r="386" spans="20:21" x14ac:dyDescent="0.25">
      <c r="T386" s="22"/>
      <c r="U386" s="22"/>
    </row>
    <row r="387" spans="20:21" x14ac:dyDescent="0.25">
      <c r="T387" s="22"/>
      <c r="U387" s="22"/>
    </row>
    <row r="388" spans="20:21" x14ac:dyDescent="0.25">
      <c r="T388" s="22"/>
      <c r="U388" s="22"/>
    </row>
    <row r="389" spans="20:21" x14ac:dyDescent="0.25">
      <c r="T389" s="22"/>
      <c r="U389" s="22"/>
    </row>
    <row r="390" spans="20:21" x14ac:dyDescent="0.25">
      <c r="T390" s="22"/>
      <c r="U390" s="22"/>
    </row>
    <row r="391" spans="20:21" x14ac:dyDescent="0.25">
      <c r="T391" s="22"/>
      <c r="U391" s="22"/>
    </row>
    <row r="392" spans="20:21" x14ac:dyDescent="0.25">
      <c r="T392" s="22"/>
      <c r="U392" s="22"/>
    </row>
    <row r="393" spans="20:21" x14ac:dyDescent="0.25">
      <c r="T393" s="22"/>
      <c r="U393" s="22"/>
    </row>
    <row r="394" spans="20:21" x14ac:dyDescent="0.25">
      <c r="T394" s="22"/>
      <c r="U394" s="22"/>
    </row>
    <row r="395" spans="20:21" x14ac:dyDescent="0.25">
      <c r="T395" s="22"/>
      <c r="U395" s="22"/>
    </row>
    <row r="396" spans="20:21" x14ac:dyDescent="0.25">
      <c r="T396" s="22"/>
      <c r="U396" s="22"/>
    </row>
    <row r="397" spans="20:21" x14ac:dyDescent="0.25">
      <c r="T397" s="22"/>
      <c r="U397" s="22"/>
    </row>
    <row r="398" spans="20:21" x14ac:dyDescent="0.25">
      <c r="T398" s="22"/>
      <c r="U398" s="22"/>
    </row>
    <row r="399" spans="20:21" x14ac:dyDescent="0.25">
      <c r="T399" s="22"/>
      <c r="U399" s="22"/>
    </row>
    <row r="400" spans="20:21" x14ac:dyDescent="0.25">
      <c r="T400" s="22"/>
      <c r="U400" s="22"/>
    </row>
    <row r="401" spans="20:21" x14ac:dyDescent="0.25">
      <c r="T401" s="22"/>
      <c r="U401" s="22"/>
    </row>
    <row r="402" spans="20:21" x14ac:dyDescent="0.25">
      <c r="T402" s="22"/>
      <c r="U402" s="22"/>
    </row>
    <row r="403" spans="20:21" x14ac:dyDescent="0.25">
      <c r="T403" s="22"/>
      <c r="U403" s="22"/>
    </row>
    <row r="404" spans="20:21" x14ac:dyDescent="0.25">
      <c r="T404" s="22"/>
      <c r="U404" s="22"/>
    </row>
    <row r="405" spans="20:21" x14ac:dyDescent="0.25">
      <c r="T405" s="22"/>
      <c r="U405" s="22"/>
    </row>
    <row r="406" spans="20:21" x14ac:dyDescent="0.25">
      <c r="T406" s="22"/>
      <c r="U406" s="22"/>
    </row>
    <row r="407" spans="20:21" x14ac:dyDescent="0.25">
      <c r="T407" s="22"/>
      <c r="U407" s="22"/>
    </row>
    <row r="408" spans="20:21" x14ac:dyDescent="0.25">
      <c r="T408" s="22"/>
      <c r="U408" s="22"/>
    </row>
    <row r="409" spans="20:21" x14ac:dyDescent="0.25">
      <c r="T409" s="22"/>
      <c r="U409" s="22"/>
    </row>
    <row r="410" spans="20:21" x14ac:dyDescent="0.25">
      <c r="T410" s="22"/>
      <c r="U410" s="22"/>
    </row>
    <row r="411" spans="20:21" x14ac:dyDescent="0.25">
      <c r="T411" s="22"/>
      <c r="U411" s="22"/>
    </row>
    <row r="412" spans="20:21" x14ac:dyDescent="0.25">
      <c r="T412" s="22"/>
      <c r="U412" s="22"/>
    </row>
    <row r="413" spans="20:21" x14ac:dyDescent="0.25">
      <c r="T413" s="22"/>
      <c r="U413" s="22"/>
    </row>
    <row r="414" spans="20:21" x14ac:dyDescent="0.25">
      <c r="T414" s="22"/>
      <c r="U414" s="22"/>
    </row>
    <row r="415" spans="20:21" x14ac:dyDescent="0.25">
      <c r="T415" s="22"/>
      <c r="U415" s="22"/>
    </row>
    <row r="416" spans="20:21" x14ac:dyDescent="0.25">
      <c r="T416" s="22"/>
      <c r="U416" s="22"/>
    </row>
    <row r="417" spans="20:22" x14ac:dyDescent="0.25">
      <c r="T417" s="22"/>
      <c r="U417" s="22"/>
    </row>
    <row r="418" spans="20:22" x14ac:dyDescent="0.25">
      <c r="T418" s="22"/>
      <c r="U418" s="22"/>
    </row>
    <row r="419" spans="20:22" x14ac:dyDescent="0.25">
      <c r="T419" s="22"/>
      <c r="U419" s="22"/>
    </row>
    <row r="420" spans="20:22" x14ac:dyDescent="0.25">
      <c r="T420" s="22"/>
      <c r="U420" s="22"/>
    </row>
    <row r="421" spans="20:22" x14ac:dyDescent="0.25">
      <c r="T421" s="22"/>
      <c r="U421" s="22"/>
    </row>
    <row r="422" spans="20:22" x14ac:dyDescent="0.25">
      <c r="T422" s="22"/>
      <c r="U422" s="22"/>
    </row>
    <row r="423" spans="20:22" x14ac:dyDescent="0.25">
      <c r="T423" s="22"/>
      <c r="U423" s="22"/>
    </row>
    <row r="424" spans="20:22" x14ac:dyDescent="0.25">
      <c r="T424" s="22"/>
      <c r="U424" s="22"/>
    </row>
    <row r="425" spans="20:22" x14ac:dyDescent="0.25">
      <c r="T425" s="22"/>
      <c r="U425" s="22"/>
    </row>
    <row r="426" spans="20:22" x14ac:dyDescent="0.25">
      <c r="T426" s="22"/>
      <c r="U426" s="22"/>
    </row>
    <row r="427" spans="20:22" x14ac:dyDescent="0.25">
      <c r="T427" s="22"/>
      <c r="U427" s="22"/>
    </row>
    <row r="428" spans="20:22" x14ac:dyDescent="0.25">
      <c r="T428" s="22"/>
      <c r="U428" s="22"/>
    </row>
    <row r="429" spans="20:22" x14ac:dyDescent="0.25">
      <c r="T429" s="22"/>
      <c r="U429" s="22"/>
    </row>
    <row r="430" spans="20:22" x14ac:dyDescent="0.25">
      <c r="T430" s="22"/>
      <c r="U430" s="22"/>
    </row>
    <row r="431" spans="20:22" x14ac:dyDescent="0.25">
      <c r="T431" s="22"/>
      <c r="U431" s="22"/>
    </row>
    <row r="432" spans="20:22" x14ac:dyDescent="0.25">
      <c r="T432" s="23"/>
      <c r="U432" s="23"/>
      <c r="V432" s="17"/>
    </row>
    <row r="433" spans="20:22" x14ac:dyDescent="0.25">
      <c r="T433" s="23"/>
      <c r="U433" s="23"/>
      <c r="V433" s="17"/>
    </row>
    <row r="434" spans="20:22" x14ac:dyDescent="0.25">
      <c r="T434" s="23"/>
      <c r="U434" s="23"/>
      <c r="V434" s="17"/>
    </row>
    <row r="435" spans="20:22" x14ac:dyDescent="0.25">
      <c r="T435" s="23"/>
      <c r="U435" s="23"/>
      <c r="V435" s="17"/>
    </row>
    <row r="436" spans="20:22" x14ac:dyDescent="0.25">
      <c r="T436" s="23"/>
      <c r="U436" s="23"/>
      <c r="V436" s="17"/>
    </row>
    <row r="437" spans="20:22" x14ac:dyDescent="0.25">
      <c r="T437" s="23"/>
      <c r="U437" s="23"/>
      <c r="V437" s="17"/>
    </row>
    <row r="438" spans="20:22" x14ac:dyDescent="0.25">
      <c r="T438" s="23"/>
      <c r="U438" s="23"/>
      <c r="V438" s="17"/>
    </row>
    <row r="439" spans="20:22" x14ac:dyDescent="0.25">
      <c r="T439" s="22"/>
      <c r="U439" s="22"/>
    </row>
    <row r="440" spans="20:22" x14ac:dyDescent="0.25">
      <c r="T440" s="22"/>
      <c r="U440" s="22"/>
    </row>
    <row r="441" spans="20:22" x14ac:dyDescent="0.25">
      <c r="T441" s="22"/>
      <c r="U441" s="22"/>
    </row>
    <row r="442" spans="20:22" x14ac:dyDescent="0.25">
      <c r="T442" s="22"/>
      <c r="U442" s="22"/>
    </row>
    <row r="443" spans="20:22" x14ac:dyDescent="0.25">
      <c r="T443" s="22"/>
      <c r="U443" s="22"/>
    </row>
    <row r="444" spans="20:22" x14ac:dyDescent="0.25">
      <c r="T444" s="22"/>
      <c r="U444" s="22"/>
    </row>
    <row r="445" spans="20:22" x14ac:dyDescent="0.25">
      <c r="T445" s="22"/>
      <c r="U445" s="22"/>
    </row>
    <row r="446" spans="20:22" x14ac:dyDescent="0.25">
      <c r="T446" s="22"/>
      <c r="U446" s="22"/>
    </row>
    <row r="447" spans="20:22" x14ac:dyDescent="0.25">
      <c r="T447" s="22"/>
      <c r="U447" s="22"/>
    </row>
    <row r="448" spans="20:22" x14ac:dyDescent="0.25">
      <c r="T448" s="22"/>
      <c r="U448" s="22"/>
    </row>
    <row r="449" spans="20:21" x14ac:dyDescent="0.25">
      <c r="T449" s="22"/>
      <c r="U449" s="22"/>
    </row>
    <row r="450" spans="20:21" x14ac:dyDescent="0.25">
      <c r="T450" s="22"/>
      <c r="U450" s="22"/>
    </row>
    <row r="451" spans="20:21" x14ac:dyDescent="0.25">
      <c r="T451" s="22"/>
      <c r="U451" s="22"/>
    </row>
    <row r="452" spans="20:21" x14ac:dyDescent="0.25">
      <c r="T452" s="22"/>
      <c r="U452" s="22"/>
    </row>
    <row r="453" spans="20:21" x14ac:dyDescent="0.25">
      <c r="T453" s="22"/>
      <c r="U453" s="22"/>
    </row>
    <row r="454" spans="20:21" x14ac:dyDescent="0.25">
      <c r="T454" s="22"/>
      <c r="U454" s="22"/>
    </row>
    <row r="455" spans="20:21" x14ac:dyDescent="0.25">
      <c r="T455" s="22"/>
      <c r="U455" s="22"/>
    </row>
    <row r="456" spans="20:21" x14ac:dyDescent="0.25">
      <c r="T456" s="22"/>
      <c r="U456" s="22"/>
    </row>
    <row r="457" spans="20:21" x14ac:dyDescent="0.25">
      <c r="T457" s="22"/>
      <c r="U457" s="22"/>
    </row>
    <row r="458" spans="20:21" x14ac:dyDescent="0.25">
      <c r="T458" s="22"/>
      <c r="U458" s="22"/>
    </row>
    <row r="459" spans="20:21" x14ac:dyDescent="0.25">
      <c r="T459" s="22"/>
      <c r="U459" s="22"/>
    </row>
    <row r="460" spans="20:21" x14ac:dyDescent="0.25">
      <c r="T460" s="22"/>
      <c r="U460" s="22"/>
    </row>
    <row r="461" spans="20:21" x14ac:dyDescent="0.25">
      <c r="T461" s="22"/>
      <c r="U461" s="22"/>
    </row>
    <row r="462" spans="20:21" x14ac:dyDescent="0.25">
      <c r="T462" s="22"/>
      <c r="U462" s="22"/>
    </row>
    <row r="463" spans="20:21" x14ac:dyDescent="0.25">
      <c r="T463" s="22"/>
      <c r="U463" s="22"/>
    </row>
    <row r="464" spans="20:21" x14ac:dyDescent="0.25">
      <c r="T464" s="22"/>
      <c r="U464" s="22"/>
    </row>
    <row r="465" spans="20:22" x14ac:dyDescent="0.25">
      <c r="T465" s="22"/>
      <c r="U465" s="22"/>
    </row>
    <row r="466" spans="20:22" x14ac:dyDescent="0.25">
      <c r="T466" s="22"/>
      <c r="U466" s="22"/>
    </row>
    <row r="467" spans="20:22" x14ac:dyDescent="0.25">
      <c r="T467" s="23"/>
      <c r="U467" s="23"/>
      <c r="V467" s="17"/>
    </row>
    <row r="468" spans="20:22" x14ac:dyDescent="0.25">
      <c r="T468" s="23"/>
      <c r="U468" s="23"/>
      <c r="V468" s="17"/>
    </row>
    <row r="469" spans="20:22" x14ac:dyDescent="0.25">
      <c r="T469" s="23"/>
      <c r="U469" s="23"/>
      <c r="V469" s="17"/>
    </row>
    <row r="470" spans="20:22" x14ac:dyDescent="0.25">
      <c r="T470" s="23"/>
      <c r="U470" s="23"/>
      <c r="V470" s="17"/>
    </row>
    <row r="471" spans="20:22" x14ac:dyDescent="0.25">
      <c r="T471" s="23"/>
      <c r="U471" s="23"/>
      <c r="V471" s="17"/>
    </row>
    <row r="472" spans="20:22" x14ac:dyDescent="0.25">
      <c r="T472" s="23"/>
      <c r="U472" s="23"/>
      <c r="V472" s="17"/>
    </row>
    <row r="473" spans="20:22" x14ac:dyDescent="0.25">
      <c r="T473" s="23"/>
      <c r="U473" s="23"/>
      <c r="V473" s="17"/>
    </row>
    <row r="474" spans="20:22" x14ac:dyDescent="0.25">
      <c r="T474" s="22"/>
      <c r="U474" s="22"/>
    </row>
    <row r="475" spans="20:22" x14ac:dyDescent="0.25">
      <c r="T475" s="22"/>
      <c r="U475" s="22"/>
    </row>
    <row r="476" spans="20:22" x14ac:dyDescent="0.25">
      <c r="T476" s="22"/>
      <c r="U476" s="22"/>
    </row>
    <row r="477" spans="20:22" x14ac:dyDescent="0.25">
      <c r="T477" s="22"/>
      <c r="U477" s="22"/>
    </row>
    <row r="478" spans="20:22" x14ac:dyDescent="0.25">
      <c r="T478" s="22"/>
      <c r="U478" s="22"/>
    </row>
    <row r="479" spans="20:22" x14ac:dyDescent="0.25">
      <c r="T479" s="22"/>
      <c r="U479" s="22"/>
    </row>
    <row r="480" spans="20:22" x14ac:dyDescent="0.25">
      <c r="T480" s="22"/>
      <c r="U480" s="22"/>
    </row>
    <row r="481" spans="20:21" x14ac:dyDescent="0.25">
      <c r="T481" s="22"/>
      <c r="U481" s="22"/>
    </row>
    <row r="482" spans="20:21" x14ac:dyDescent="0.25">
      <c r="T482" s="22"/>
      <c r="U482" s="22"/>
    </row>
    <row r="483" spans="20:21" x14ac:dyDescent="0.25">
      <c r="T483" s="22"/>
      <c r="U483" s="22"/>
    </row>
    <row r="484" spans="20:21" x14ac:dyDescent="0.25">
      <c r="T484" s="22"/>
      <c r="U484" s="22"/>
    </row>
    <row r="485" spans="20:21" x14ac:dyDescent="0.25">
      <c r="T485" s="22"/>
      <c r="U485" s="22"/>
    </row>
    <row r="486" spans="20:21" x14ac:dyDescent="0.25">
      <c r="T486" s="22"/>
      <c r="U486" s="22"/>
    </row>
    <row r="487" spans="20:21" x14ac:dyDescent="0.25">
      <c r="T487" s="22"/>
      <c r="U487" s="22"/>
    </row>
    <row r="488" spans="20:21" x14ac:dyDescent="0.25">
      <c r="T488" s="22"/>
      <c r="U488" s="22"/>
    </row>
    <row r="489" spans="20:21" x14ac:dyDescent="0.25">
      <c r="T489" s="22"/>
      <c r="U489" s="22"/>
    </row>
    <row r="490" spans="20:21" x14ac:dyDescent="0.25">
      <c r="T490" s="22"/>
      <c r="U490" s="22"/>
    </row>
    <row r="491" spans="20:21" x14ac:dyDescent="0.25">
      <c r="T491" s="22"/>
      <c r="U491" s="22"/>
    </row>
    <row r="492" spans="20:21" x14ac:dyDescent="0.25">
      <c r="T492" s="22"/>
      <c r="U492" s="22"/>
    </row>
    <row r="493" spans="20:21" x14ac:dyDescent="0.25">
      <c r="T493" s="22"/>
      <c r="U493" s="22"/>
    </row>
    <row r="494" spans="20:21" x14ac:dyDescent="0.25">
      <c r="T494" s="22"/>
      <c r="U494" s="22"/>
    </row>
    <row r="495" spans="20:21" x14ac:dyDescent="0.25">
      <c r="T495" s="22"/>
      <c r="U495" s="22"/>
    </row>
    <row r="496" spans="20:21" x14ac:dyDescent="0.25">
      <c r="T496" s="22"/>
      <c r="U496" s="22"/>
    </row>
    <row r="497" spans="20:21" x14ac:dyDescent="0.25">
      <c r="T497" s="22"/>
      <c r="U497" s="22"/>
    </row>
    <row r="498" spans="20:21" x14ac:dyDescent="0.25">
      <c r="T498" s="22"/>
      <c r="U498" s="22"/>
    </row>
    <row r="499" spans="20:21" x14ac:dyDescent="0.25">
      <c r="T499" s="22"/>
      <c r="U499" s="22"/>
    </row>
    <row r="500" spans="20:21" x14ac:dyDescent="0.25">
      <c r="T500" s="22"/>
      <c r="U500" s="22"/>
    </row>
    <row r="501" spans="20:21" x14ac:dyDescent="0.25">
      <c r="T501" s="22"/>
      <c r="U501" s="22"/>
    </row>
    <row r="502" spans="20:21" x14ac:dyDescent="0.25">
      <c r="T502" s="22"/>
      <c r="U502" s="22"/>
    </row>
    <row r="503" spans="20:21" x14ac:dyDescent="0.25">
      <c r="T503" s="22"/>
      <c r="U503" s="22"/>
    </row>
    <row r="504" spans="20:21" x14ac:dyDescent="0.25">
      <c r="T504" s="22"/>
      <c r="U504" s="22"/>
    </row>
    <row r="505" spans="20:21" x14ac:dyDescent="0.25">
      <c r="T505" s="22"/>
      <c r="U505" s="22"/>
    </row>
    <row r="506" spans="20:21" x14ac:dyDescent="0.25">
      <c r="T506" s="22"/>
      <c r="U506" s="22"/>
    </row>
    <row r="507" spans="20:21" x14ac:dyDescent="0.25">
      <c r="T507" s="22"/>
      <c r="U507" s="22"/>
    </row>
    <row r="508" spans="20:21" x14ac:dyDescent="0.25">
      <c r="T508" s="22"/>
      <c r="U508" s="22"/>
    </row>
    <row r="509" spans="20:21" x14ac:dyDescent="0.25">
      <c r="T509" s="22"/>
      <c r="U509" s="22"/>
    </row>
    <row r="510" spans="20:21" x14ac:dyDescent="0.25">
      <c r="T510" s="22"/>
      <c r="U510" s="22"/>
    </row>
    <row r="511" spans="20:21" x14ac:dyDescent="0.25">
      <c r="T511" s="22"/>
      <c r="U511" s="22"/>
    </row>
    <row r="512" spans="20:21" x14ac:dyDescent="0.25">
      <c r="T512" s="22"/>
      <c r="U512" s="22"/>
    </row>
    <row r="513" spans="20:21" x14ac:dyDescent="0.25">
      <c r="T513" s="22"/>
      <c r="U513" s="22"/>
    </row>
    <row r="514" spans="20:21" x14ac:dyDescent="0.25">
      <c r="T514" s="22"/>
      <c r="U514" s="22"/>
    </row>
    <row r="515" spans="20:21" x14ac:dyDescent="0.25">
      <c r="T515" s="22"/>
      <c r="U515" s="22"/>
    </row>
    <row r="516" spans="20:21" x14ac:dyDescent="0.25">
      <c r="T516" s="22"/>
      <c r="U516" s="22"/>
    </row>
    <row r="517" spans="20:21" x14ac:dyDescent="0.25">
      <c r="T517" s="22"/>
      <c r="U517" s="22"/>
    </row>
    <row r="518" spans="20:21" x14ac:dyDescent="0.25">
      <c r="T518" s="22"/>
      <c r="U518" s="22"/>
    </row>
    <row r="519" spans="20:21" x14ac:dyDescent="0.25">
      <c r="T519" s="22"/>
      <c r="U519" s="22"/>
    </row>
    <row r="520" spans="20:21" x14ac:dyDescent="0.25">
      <c r="T520" s="22"/>
      <c r="U520" s="22"/>
    </row>
    <row r="521" spans="20:21" x14ac:dyDescent="0.25">
      <c r="T521" s="22"/>
      <c r="U521" s="22"/>
    </row>
    <row r="522" spans="20:21" x14ac:dyDescent="0.25">
      <c r="T522" s="22"/>
      <c r="U522" s="22"/>
    </row>
    <row r="523" spans="20:21" x14ac:dyDescent="0.25">
      <c r="T523" s="23"/>
      <c r="U523" s="23"/>
    </row>
    <row r="524" spans="20:21" x14ac:dyDescent="0.25">
      <c r="T524" s="23"/>
      <c r="U524" s="23"/>
    </row>
    <row r="525" spans="20:21" x14ac:dyDescent="0.25">
      <c r="T525" s="23"/>
      <c r="U525" s="23"/>
    </row>
    <row r="526" spans="20:21" x14ac:dyDescent="0.25">
      <c r="T526" s="23"/>
      <c r="U526" s="23"/>
    </row>
    <row r="527" spans="20:21" x14ac:dyDescent="0.25">
      <c r="T527" s="23"/>
      <c r="U527" s="23"/>
    </row>
    <row r="528" spans="20:21" x14ac:dyDescent="0.25">
      <c r="T528" s="23"/>
      <c r="U528" s="23"/>
    </row>
    <row r="529" spans="20:22" x14ac:dyDescent="0.25">
      <c r="T529" s="23"/>
      <c r="U529" s="23"/>
    </row>
    <row r="530" spans="20:22" x14ac:dyDescent="0.25">
      <c r="T530" s="23"/>
      <c r="U530" s="23"/>
      <c r="V530" s="17"/>
    </row>
    <row r="531" spans="20:22" x14ac:dyDescent="0.25">
      <c r="T531" s="23"/>
      <c r="U531" s="23"/>
      <c r="V531" s="17"/>
    </row>
    <row r="532" spans="20:22" x14ac:dyDescent="0.25">
      <c r="T532" s="23"/>
      <c r="U532" s="23"/>
      <c r="V532" s="17"/>
    </row>
    <row r="533" spans="20:22" x14ac:dyDescent="0.25">
      <c r="T533" s="23"/>
      <c r="U533" s="23"/>
      <c r="V533" s="17"/>
    </row>
    <row r="534" spans="20:22" x14ac:dyDescent="0.25">
      <c r="T534" s="23"/>
      <c r="U534" s="23"/>
      <c r="V534" s="17"/>
    </row>
    <row r="535" spans="20:22" x14ac:dyDescent="0.25">
      <c r="T535" s="23"/>
      <c r="U535" s="23"/>
      <c r="V535" s="17"/>
    </row>
    <row r="536" spans="20:22" x14ac:dyDescent="0.25">
      <c r="T536" s="23"/>
      <c r="U536" s="23"/>
      <c r="V536" s="17"/>
    </row>
    <row r="537" spans="20:22" x14ac:dyDescent="0.25">
      <c r="T537" s="23"/>
      <c r="U537" s="23"/>
      <c r="V537" s="17"/>
    </row>
    <row r="538" spans="20:22" x14ac:dyDescent="0.25">
      <c r="T538" s="23"/>
      <c r="U538" s="23"/>
      <c r="V538" s="17"/>
    </row>
    <row r="539" spans="20:22" x14ac:dyDescent="0.25">
      <c r="T539" s="23"/>
      <c r="U539" s="23"/>
      <c r="V539" s="17"/>
    </row>
    <row r="540" spans="20:22" x14ac:dyDescent="0.25">
      <c r="T540" s="23"/>
      <c r="U540" s="23"/>
      <c r="V540" s="17"/>
    </row>
    <row r="541" spans="20:22" x14ac:dyDescent="0.25">
      <c r="T541" s="23"/>
      <c r="U541" s="23"/>
      <c r="V541" s="17"/>
    </row>
    <row r="542" spans="20:22" x14ac:dyDescent="0.25">
      <c r="T542" s="23"/>
      <c r="U542" s="23"/>
      <c r="V542" s="17"/>
    </row>
    <row r="543" spans="20:22" x14ac:dyDescent="0.25">
      <c r="T543" s="23"/>
      <c r="U543" s="23"/>
      <c r="V543" s="17"/>
    </row>
    <row r="544" spans="20:22" x14ac:dyDescent="0.25">
      <c r="T544" s="23"/>
      <c r="U544" s="23"/>
      <c r="V544" s="17"/>
    </row>
    <row r="545" spans="4:22" x14ac:dyDescent="0.25">
      <c r="T545" s="23"/>
      <c r="U545" s="23"/>
      <c r="V545" s="17"/>
    </row>
    <row r="546" spans="4:22" x14ac:dyDescent="0.25">
      <c r="T546" s="23"/>
      <c r="U546" s="23"/>
      <c r="V546" s="17"/>
    </row>
    <row r="547" spans="4:22" x14ac:dyDescent="0.25">
      <c r="T547" s="23"/>
      <c r="U547" s="23"/>
      <c r="V547" s="17"/>
    </row>
    <row r="548" spans="4:22" x14ac:dyDescent="0.25">
      <c r="T548" s="23"/>
      <c r="U548" s="23"/>
      <c r="V548" s="17"/>
    </row>
    <row r="549" spans="4:22" x14ac:dyDescent="0.25">
      <c r="T549" s="23"/>
      <c r="U549" s="23"/>
      <c r="V549" s="17"/>
    </row>
    <row r="550" spans="4:22" x14ac:dyDescent="0.25">
      <c r="T550" s="23"/>
      <c r="U550" s="23"/>
      <c r="V550" s="17"/>
    </row>
    <row r="551" spans="4:22" x14ac:dyDescent="0.25">
      <c r="T551" s="22"/>
      <c r="U551" s="22"/>
    </row>
    <row r="552" spans="4:22" x14ac:dyDescent="0.25">
      <c r="T552" s="22"/>
      <c r="U552" s="22"/>
    </row>
    <row r="553" spans="4:22" x14ac:dyDescent="0.25">
      <c r="T553" s="22"/>
      <c r="U553" s="22"/>
    </row>
    <row r="554" spans="4:22" x14ac:dyDescent="0.25">
      <c r="T554" s="22"/>
      <c r="U554" s="22"/>
    </row>
    <row r="555" spans="4:22" x14ac:dyDescent="0.25">
      <c r="T555" s="22"/>
      <c r="U555" s="22"/>
    </row>
    <row r="556" spans="4:22" x14ac:dyDescent="0.25">
      <c r="T556" s="22"/>
      <c r="U556" s="22"/>
    </row>
    <row r="557" spans="4:22" x14ac:dyDescent="0.25">
      <c r="T557" s="22"/>
      <c r="U557" s="22"/>
    </row>
    <row r="558" spans="4:22" x14ac:dyDescent="0.25">
      <c r="D558" s="40"/>
      <c r="E558" s="40"/>
      <c r="F558" s="40"/>
      <c r="G558" s="42"/>
    </row>
    <row r="559" spans="4:22" x14ac:dyDescent="0.25">
      <c r="D559" s="40"/>
      <c r="E559" s="40"/>
      <c r="F559" s="40"/>
      <c r="G559" s="42"/>
    </row>
    <row r="560" spans="4:22" x14ac:dyDescent="0.25">
      <c r="D560" s="40"/>
      <c r="E560" s="40"/>
      <c r="F560" s="40"/>
      <c r="G560" s="42"/>
    </row>
    <row r="561" spans="4:7" x14ac:dyDescent="0.25">
      <c r="D561" s="40"/>
      <c r="E561" s="40"/>
      <c r="F561" s="40"/>
      <c r="G561" s="42"/>
    </row>
    <row r="562" spans="4:7" x14ac:dyDescent="0.25">
      <c r="D562" s="40"/>
      <c r="E562" s="40"/>
      <c r="F562" s="40"/>
      <c r="G562" s="42"/>
    </row>
    <row r="563" spans="4:7" x14ac:dyDescent="0.25">
      <c r="D563" s="40"/>
      <c r="E563" s="40"/>
      <c r="F563" s="40"/>
      <c r="G563" s="42"/>
    </row>
    <row r="564" spans="4:7" x14ac:dyDescent="0.25">
      <c r="D564" s="40"/>
      <c r="E564" s="40"/>
      <c r="F564" s="40"/>
      <c r="G564" s="42"/>
    </row>
    <row r="565" spans="4:7" x14ac:dyDescent="0.25">
      <c r="D565" s="40"/>
      <c r="E565" s="40"/>
      <c r="F565" s="40"/>
      <c r="G565" s="42"/>
    </row>
    <row r="566" spans="4:7" x14ac:dyDescent="0.25">
      <c r="D566" s="40"/>
      <c r="E566" s="40"/>
      <c r="F566" s="40"/>
      <c r="G566" s="42"/>
    </row>
    <row r="567" spans="4:7" x14ac:dyDescent="0.25">
      <c r="D567" s="40"/>
      <c r="E567" s="40"/>
      <c r="F567" s="40"/>
      <c r="G567" s="42"/>
    </row>
    <row r="568" spans="4:7" x14ac:dyDescent="0.25">
      <c r="D568" s="40"/>
      <c r="E568" s="40"/>
      <c r="F568" s="40"/>
      <c r="G568" s="42"/>
    </row>
    <row r="569" spans="4:7" x14ac:dyDescent="0.25">
      <c r="D569" s="40"/>
      <c r="E569" s="40"/>
      <c r="F569" s="40"/>
      <c r="G569" s="42"/>
    </row>
    <row r="570" spans="4:7" x14ac:dyDescent="0.25">
      <c r="D570" s="40"/>
      <c r="E570" s="40"/>
      <c r="F570" s="40"/>
      <c r="G570" s="42"/>
    </row>
    <row r="571" spans="4:7" x14ac:dyDescent="0.25">
      <c r="D571" s="40"/>
      <c r="E571" s="40"/>
      <c r="F571" s="40"/>
      <c r="G571" s="42"/>
    </row>
    <row r="572" spans="4:7" x14ac:dyDescent="0.25">
      <c r="D572" s="40"/>
      <c r="E572" s="40"/>
      <c r="F572" s="40"/>
      <c r="G572" s="42"/>
    </row>
    <row r="573" spans="4:7" x14ac:dyDescent="0.25">
      <c r="D573" s="40"/>
      <c r="E573" s="40"/>
      <c r="F573" s="40"/>
      <c r="G573" s="42"/>
    </row>
    <row r="574" spans="4:7" x14ac:dyDescent="0.25">
      <c r="D574" s="40"/>
      <c r="E574" s="40"/>
      <c r="F574" s="40"/>
      <c r="G574" s="42"/>
    </row>
    <row r="575" spans="4:7" x14ac:dyDescent="0.25">
      <c r="D575" s="40"/>
      <c r="E575" s="40"/>
      <c r="F575" s="40"/>
      <c r="G575" s="42"/>
    </row>
    <row r="576" spans="4:7" x14ac:dyDescent="0.25">
      <c r="D576" s="40"/>
      <c r="E576" s="40"/>
      <c r="F576" s="40"/>
      <c r="G576" s="42"/>
    </row>
    <row r="577" spans="4:7" x14ac:dyDescent="0.25">
      <c r="D577" s="40"/>
      <c r="E577" s="40"/>
      <c r="F577" s="40"/>
      <c r="G577" s="42"/>
    </row>
    <row r="578" spans="4:7" x14ac:dyDescent="0.25">
      <c r="D578" s="40"/>
      <c r="E578" s="40"/>
      <c r="F578" s="40"/>
      <c r="G578" s="42"/>
    </row>
    <row r="579" spans="4:7" x14ac:dyDescent="0.25">
      <c r="D579" s="40"/>
      <c r="E579" s="40"/>
      <c r="F579" s="40"/>
      <c r="G579" s="42"/>
    </row>
    <row r="580" spans="4:7" x14ac:dyDescent="0.25">
      <c r="D580" s="40"/>
      <c r="E580" s="40"/>
      <c r="F580" s="40"/>
      <c r="G580" s="42"/>
    </row>
    <row r="581" spans="4:7" x14ac:dyDescent="0.25">
      <c r="D581" s="40"/>
      <c r="E581" s="40"/>
      <c r="F581" s="40"/>
      <c r="G581" s="42"/>
    </row>
    <row r="582" spans="4:7" x14ac:dyDescent="0.25">
      <c r="D582" s="40"/>
      <c r="E582" s="40"/>
      <c r="F582" s="40"/>
      <c r="G582" s="42"/>
    </row>
    <row r="583" spans="4:7" x14ac:dyDescent="0.25">
      <c r="D583" s="40"/>
      <c r="E583" s="40"/>
      <c r="F583" s="40"/>
      <c r="G583" s="42"/>
    </row>
    <row r="584" spans="4:7" x14ac:dyDescent="0.25">
      <c r="D584" s="40"/>
      <c r="E584" s="40"/>
      <c r="F584" s="40"/>
      <c r="G584" s="42"/>
    </row>
    <row r="585" spans="4:7" x14ac:dyDescent="0.25">
      <c r="D585" s="40"/>
      <c r="E585" s="40"/>
      <c r="F585" s="40"/>
      <c r="G585" s="42"/>
    </row>
    <row r="586" spans="4:7" x14ac:dyDescent="0.25">
      <c r="D586" s="40"/>
      <c r="E586" s="40"/>
      <c r="F586" s="40"/>
      <c r="G586" s="42"/>
    </row>
  </sheetData>
  <sheetProtection password="CA81" sheet="1" objects="1" scenarios="1" insertHyperlinks="0" autoFilter="0"/>
  <autoFilter ref="A4:V154" xr:uid="{00000000-0009-0000-0000-000003000000}">
    <filterColumn colId="3"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dataConsolidate/>
  <mergeCells count="27">
    <mergeCell ref="I50:I64"/>
    <mergeCell ref="H65:H79"/>
    <mergeCell ref="I65:I79"/>
    <mergeCell ref="H80:H94"/>
    <mergeCell ref="I80:I94"/>
    <mergeCell ref="A1:G1"/>
    <mergeCell ref="H1:I3"/>
    <mergeCell ref="A3:A4"/>
    <mergeCell ref="C3:C4"/>
    <mergeCell ref="D3:D4"/>
    <mergeCell ref="E3:F3"/>
    <mergeCell ref="H95:H109"/>
    <mergeCell ref="I95:I109"/>
    <mergeCell ref="B3:B4"/>
    <mergeCell ref="H140:H154"/>
    <mergeCell ref="I140:I154"/>
    <mergeCell ref="H5:H19"/>
    <mergeCell ref="I5:I19"/>
    <mergeCell ref="H20:H34"/>
    <mergeCell ref="I20:I34"/>
    <mergeCell ref="H110:H124"/>
    <mergeCell ref="I110:I124"/>
    <mergeCell ref="H125:H139"/>
    <mergeCell ref="I125:I139"/>
    <mergeCell ref="H35:H49"/>
    <mergeCell ref="I35:I49"/>
    <mergeCell ref="H50:H64"/>
  </mergeCells>
  <dataValidations count="1">
    <dataValidation type="date" operator="greaterThan" allowBlank="1" showInputMessage="1" showErrorMessage="1" errorTitle="Date Format" error="mm/dd/yyyy" promptTitle="Date Format" prompt="mm/dd/yyyy" sqref="G150:G154 G5:G149" xr:uid="{00000000-0002-0000-0300-000000000000}">
      <formula1>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1000000}">
          <x14:formula1>
            <xm:f>Validation!$H$2:$H$7</xm:f>
          </x14:formula1>
          <xm:sqref>E5:F154</xm:sqref>
        </x14:dataValidation>
        <x14:dataValidation type="list" allowBlank="1" showInputMessage="1" showErrorMessage="1" error="Select value from the dropdown!" prompt="Click dropdown arrow to change State ID." xr:uid="{00000000-0002-0000-0300-000002000000}">
          <x14:formula1>
            <xm:f>Validation!$G$2:$G$57</xm:f>
          </x14:formula1>
          <xm:sqref>D2</xm:sqref>
        </x14:dataValidation>
        <x14:dataValidation type="list" allowBlank="1" showInputMessage="1" showErrorMessage="1" error="Select value from the dropdown!" prompt="Click dropdown arrow to change Program Name." xr:uid="{00000000-0002-0000-0300-000003000000}">
          <x14:formula1>
            <xm:f>Validation!$J$2:$J$4</xm:f>
          </x14:formula1>
          <xm:sqref>B2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W591"/>
  <sheetViews>
    <sheetView showGridLines="0" zoomScale="80" zoomScaleNormal="80" workbookViewId="0">
      <pane ySplit="4" topLeftCell="A203" activePane="bottomLeft" state="frozen"/>
      <selection pane="bottomLeft" activeCell="G218" sqref="G218"/>
    </sheetView>
  </sheetViews>
  <sheetFormatPr defaultRowHeight="15" x14ac:dyDescent="0.25"/>
  <cols>
    <col min="1" max="1" width="29.140625" customWidth="1"/>
    <col min="2" max="2" width="30.7109375" customWidth="1"/>
    <col min="3" max="3" width="29.28515625" customWidth="1"/>
    <col min="4" max="4" width="42.7109375" customWidth="1"/>
    <col min="5" max="6" width="9.7109375" customWidth="1"/>
    <col min="7" max="7" width="16.28515625" style="1" customWidth="1"/>
    <col min="8" max="9" width="8.7109375" customWidth="1"/>
    <col min="10" max="10" width="17.5703125" style="40" customWidth="1"/>
    <col min="11" max="19" width="9.140625" style="40"/>
    <col min="20" max="20" width="9.140625" style="20" hidden="1" customWidth="1"/>
    <col min="21" max="21" width="9.7109375" style="20" hidden="1" customWidth="1"/>
    <col min="22" max="22" width="9.140625" style="20" hidden="1" customWidth="1"/>
    <col min="23" max="23" width="9.140625" style="20"/>
  </cols>
  <sheetData>
    <row r="1" spans="1:22" ht="54" customHeight="1" x14ac:dyDescent="0.25">
      <c r="A1" s="278" t="s">
        <v>351</v>
      </c>
      <c r="B1" s="279"/>
      <c r="C1" s="279"/>
      <c r="D1" s="279"/>
      <c r="E1" s="279"/>
      <c r="F1" s="279"/>
      <c r="G1" s="280"/>
      <c r="H1" s="281" t="s">
        <v>354</v>
      </c>
      <c r="I1" s="282"/>
      <c r="J1" s="246"/>
    </row>
    <row r="2" spans="1:22" ht="26.1" customHeight="1" x14ac:dyDescent="0.25">
      <c r="A2" s="9" t="s">
        <v>221</v>
      </c>
      <c r="B2" s="207" t="str">
        <f>'TA-Scorecard'!B2</f>
        <v>Enterprise</v>
      </c>
      <c r="C2" s="205" t="s">
        <v>231</v>
      </c>
      <c r="D2" s="207" t="str">
        <f>'TA-Scorecard'!D2</f>
        <v>OH</v>
      </c>
      <c r="E2" s="11"/>
      <c r="F2" s="11"/>
      <c r="G2" s="12"/>
      <c r="H2" s="260"/>
      <c r="I2" s="283"/>
      <c r="J2" s="246"/>
    </row>
    <row r="3" spans="1:22" ht="39" customHeight="1" x14ac:dyDescent="0.25">
      <c r="A3" s="292" t="s">
        <v>212</v>
      </c>
      <c r="B3" s="292" t="s">
        <v>352</v>
      </c>
      <c r="C3" s="292" t="s">
        <v>44</v>
      </c>
      <c r="D3" s="292" t="s">
        <v>42</v>
      </c>
      <c r="E3" s="285" t="s">
        <v>353</v>
      </c>
      <c r="F3" s="286"/>
      <c r="G3" s="13" t="s">
        <v>217</v>
      </c>
      <c r="H3" s="262"/>
      <c r="I3" s="284"/>
    </row>
    <row r="4" spans="1:22" ht="27" customHeight="1" thickBot="1" x14ac:dyDescent="0.3">
      <c r="A4" s="293"/>
      <c r="B4" s="293"/>
      <c r="C4" s="293"/>
      <c r="D4" s="293"/>
      <c r="E4" s="43" t="s">
        <v>213</v>
      </c>
      <c r="F4" s="43" t="s">
        <v>215</v>
      </c>
      <c r="G4" s="29" t="s">
        <v>218</v>
      </c>
      <c r="H4" s="52" t="s">
        <v>216</v>
      </c>
      <c r="I4" s="52" t="s">
        <v>215</v>
      </c>
    </row>
    <row r="5" spans="1:22" ht="30.75" thickTop="1" x14ac:dyDescent="0.25">
      <c r="A5" s="143" t="s">
        <v>135</v>
      </c>
      <c r="B5" s="172" t="s">
        <v>24</v>
      </c>
      <c r="C5" s="173" t="s">
        <v>25</v>
      </c>
      <c r="D5" s="95"/>
      <c r="E5" s="30">
        <v>2</v>
      </c>
      <c r="F5" s="30">
        <v>2</v>
      </c>
      <c r="G5" s="174">
        <v>42156</v>
      </c>
      <c r="H5" s="287" t="str">
        <f>CONCATENATE("Level"," ",MIN(E5:E7))</f>
        <v>Level 2</v>
      </c>
      <c r="I5" s="287" t="str">
        <f t="shared" ref="I5:I68" si="0">CONCATENATE("Level"," ",MIN(F5:F7))</f>
        <v>Level 2</v>
      </c>
      <c r="T5" s="19" t="s">
        <v>244</v>
      </c>
      <c r="U5" s="19" t="s">
        <v>209</v>
      </c>
      <c r="V5" s="19"/>
    </row>
    <row r="6" spans="1:22" ht="30" x14ac:dyDescent="0.25">
      <c r="A6" s="144" t="s">
        <v>135</v>
      </c>
      <c r="B6" s="175" t="s">
        <v>24</v>
      </c>
      <c r="C6" s="176" t="s">
        <v>26</v>
      </c>
      <c r="D6" s="97"/>
      <c r="E6" s="26">
        <v>2</v>
      </c>
      <c r="F6" s="26">
        <v>2</v>
      </c>
      <c r="G6" s="177">
        <v>42156</v>
      </c>
      <c r="H6" s="250"/>
      <c r="I6" s="250"/>
      <c r="T6" s="19" t="s">
        <v>244</v>
      </c>
      <c r="U6" s="19" t="s">
        <v>209</v>
      </c>
      <c r="V6" s="19"/>
    </row>
    <row r="7" spans="1:22" ht="30.75" thickBot="1" x14ac:dyDescent="0.3">
      <c r="A7" s="145" t="s">
        <v>135</v>
      </c>
      <c r="B7" s="178" t="s">
        <v>24</v>
      </c>
      <c r="C7" s="179" t="s">
        <v>27</v>
      </c>
      <c r="D7" s="106"/>
      <c r="E7" s="31">
        <v>2</v>
      </c>
      <c r="F7" s="31">
        <v>2</v>
      </c>
      <c r="G7" s="180">
        <v>42156</v>
      </c>
      <c r="H7" s="250"/>
      <c r="I7" s="250"/>
      <c r="T7" s="19" t="s">
        <v>244</v>
      </c>
      <c r="U7" s="19" t="s">
        <v>209</v>
      </c>
      <c r="V7" s="19"/>
    </row>
    <row r="8" spans="1:22" ht="30.75" thickTop="1" x14ac:dyDescent="0.25">
      <c r="A8" s="146" t="s">
        <v>135</v>
      </c>
      <c r="B8" s="181" t="s">
        <v>28</v>
      </c>
      <c r="C8" s="182" t="s">
        <v>25</v>
      </c>
      <c r="D8" s="117"/>
      <c r="E8" s="65">
        <v>4</v>
      </c>
      <c r="F8" s="65">
        <v>5</v>
      </c>
      <c r="G8" s="183">
        <v>42156</v>
      </c>
      <c r="H8" s="287" t="str">
        <f t="shared" ref="H8" si="1">CONCATENATE("Level"," ",MIN(E8:E10))</f>
        <v>Level 4</v>
      </c>
      <c r="I8" s="287" t="str">
        <f t="shared" si="0"/>
        <v>Level 4</v>
      </c>
      <c r="T8" s="19" t="s">
        <v>244</v>
      </c>
      <c r="U8" s="19" t="s">
        <v>209</v>
      </c>
      <c r="V8" s="19"/>
    </row>
    <row r="9" spans="1:22" ht="30" x14ac:dyDescent="0.25">
      <c r="A9" s="147" t="s">
        <v>135</v>
      </c>
      <c r="B9" s="184" t="s">
        <v>28</v>
      </c>
      <c r="C9" s="185" t="s">
        <v>26</v>
      </c>
      <c r="D9" s="121"/>
      <c r="E9" s="66">
        <v>4</v>
      </c>
      <c r="F9" s="66">
        <v>4</v>
      </c>
      <c r="G9" s="245">
        <v>42156</v>
      </c>
      <c r="H9" s="250"/>
      <c r="I9" s="250"/>
      <c r="T9" s="19" t="s">
        <v>244</v>
      </c>
      <c r="U9" s="19" t="s">
        <v>209</v>
      </c>
      <c r="V9" s="19"/>
    </row>
    <row r="10" spans="1:22" ht="30.75" thickBot="1" x14ac:dyDescent="0.3">
      <c r="A10" s="148" t="s">
        <v>135</v>
      </c>
      <c r="B10" s="187" t="s">
        <v>28</v>
      </c>
      <c r="C10" s="188" t="s">
        <v>27</v>
      </c>
      <c r="D10" s="118"/>
      <c r="E10" s="67">
        <v>4</v>
      </c>
      <c r="F10" s="67">
        <v>4</v>
      </c>
      <c r="G10" s="189">
        <v>42156</v>
      </c>
      <c r="H10" s="250"/>
      <c r="I10" s="250"/>
      <c r="T10" s="19" t="s">
        <v>244</v>
      </c>
      <c r="U10" s="19" t="s">
        <v>209</v>
      </c>
      <c r="V10" s="19"/>
    </row>
    <row r="11" spans="1:22" ht="30.75" thickTop="1" x14ac:dyDescent="0.25">
      <c r="A11" s="143" t="s">
        <v>135</v>
      </c>
      <c r="B11" s="172" t="s">
        <v>29</v>
      </c>
      <c r="C11" s="173" t="s">
        <v>25</v>
      </c>
      <c r="D11" s="119"/>
      <c r="E11" s="30">
        <v>2</v>
      </c>
      <c r="F11" s="30">
        <v>2</v>
      </c>
      <c r="G11" s="174">
        <v>42156</v>
      </c>
      <c r="H11" s="287" t="str">
        <f t="shared" ref="H11" si="2">CONCATENATE("Level"," ",MIN(E11:E13))</f>
        <v>Level 2</v>
      </c>
      <c r="I11" s="287" t="str">
        <f t="shared" si="0"/>
        <v>Level 2</v>
      </c>
      <c r="T11" s="19" t="s">
        <v>244</v>
      </c>
      <c r="U11" s="19" t="s">
        <v>209</v>
      </c>
      <c r="V11" s="19"/>
    </row>
    <row r="12" spans="1:22" ht="30" x14ac:dyDescent="0.25">
      <c r="A12" s="144" t="s">
        <v>135</v>
      </c>
      <c r="B12" s="175" t="s">
        <v>29</v>
      </c>
      <c r="C12" s="176" t="s">
        <v>26</v>
      </c>
      <c r="D12" s="122"/>
      <c r="E12" s="26">
        <v>2</v>
      </c>
      <c r="F12" s="26">
        <v>2</v>
      </c>
      <c r="G12" s="177">
        <v>42156</v>
      </c>
      <c r="H12" s="250"/>
      <c r="I12" s="250"/>
      <c r="T12" s="19" t="s">
        <v>244</v>
      </c>
      <c r="U12" s="19" t="s">
        <v>209</v>
      </c>
      <c r="V12" s="19"/>
    </row>
    <row r="13" spans="1:22" ht="30.75" thickBot="1" x14ac:dyDescent="0.3">
      <c r="A13" s="145" t="s">
        <v>135</v>
      </c>
      <c r="B13" s="178" t="s">
        <v>29</v>
      </c>
      <c r="C13" s="179" t="s">
        <v>27</v>
      </c>
      <c r="D13" s="120"/>
      <c r="E13" s="31">
        <v>2</v>
      </c>
      <c r="F13" s="31">
        <v>2</v>
      </c>
      <c r="G13" s="180">
        <v>42156</v>
      </c>
      <c r="H13" s="250"/>
      <c r="I13" s="250"/>
      <c r="T13" s="19" t="s">
        <v>244</v>
      </c>
      <c r="U13" s="19" t="s">
        <v>209</v>
      </c>
      <c r="V13" s="19"/>
    </row>
    <row r="14" spans="1:22" ht="30.75" thickTop="1" x14ac:dyDescent="0.25">
      <c r="A14" s="146" t="s">
        <v>135</v>
      </c>
      <c r="B14" s="181" t="s">
        <v>30</v>
      </c>
      <c r="C14" s="182" t="s">
        <v>25</v>
      </c>
      <c r="D14" s="117" t="s">
        <v>356</v>
      </c>
      <c r="E14" s="65">
        <v>1</v>
      </c>
      <c r="F14" s="65">
        <v>1</v>
      </c>
      <c r="G14" s="183">
        <v>42156</v>
      </c>
      <c r="H14" s="287" t="str">
        <f t="shared" ref="H14" si="3">CONCATENATE("Level"," ",MIN(E14:E16))</f>
        <v>Level 1</v>
      </c>
      <c r="I14" s="287" t="str">
        <f t="shared" si="0"/>
        <v>Level 1</v>
      </c>
      <c r="T14" s="19" t="s">
        <v>244</v>
      </c>
      <c r="U14" s="19" t="s">
        <v>209</v>
      </c>
      <c r="V14" s="19"/>
    </row>
    <row r="15" spans="1:22" ht="30" x14ac:dyDescent="0.25">
      <c r="A15" s="147" t="s">
        <v>135</v>
      </c>
      <c r="B15" s="184" t="s">
        <v>30</v>
      </c>
      <c r="C15" s="185" t="s">
        <v>26</v>
      </c>
      <c r="D15" s="121"/>
      <c r="E15" s="66">
        <v>1</v>
      </c>
      <c r="F15" s="66">
        <v>3</v>
      </c>
      <c r="G15" s="186">
        <v>42156</v>
      </c>
      <c r="H15" s="250"/>
      <c r="I15" s="250"/>
      <c r="T15" s="19" t="s">
        <v>244</v>
      </c>
      <c r="U15" s="19" t="s">
        <v>209</v>
      </c>
      <c r="V15" s="19"/>
    </row>
    <row r="16" spans="1:22" ht="30.75" thickBot="1" x14ac:dyDescent="0.3">
      <c r="A16" s="148" t="s">
        <v>135</v>
      </c>
      <c r="B16" s="187" t="s">
        <v>30</v>
      </c>
      <c r="C16" s="188" t="s">
        <v>27</v>
      </c>
      <c r="D16" s="118"/>
      <c r="E16" s="67">
        <v>1</v>
      </c>
      <c r="F16" s="67">
        <v>2</v>
      </c>
      <c r="G16" s="189">
        <v>42156</v>
      </c>
      <c r="H16" s="250"/>
      <c r="I16" s="250"/>
      <c r="T16" s="19" t="s">
        <v>244</v>
      </c>
      <c r="U16" s="19" t="s">
        <v>209</v>
      </c>
      <c r="V16" s="19"/>
    </row>
    <row r="17" spans="1:22" ht="30.75" thickTop="1" x14ac:dyDescent="0.25">
      <c r="A17" s="143" t="s">
        <v>135</v>
      </c>
      <c r="B17" s="172" t="s">
        <v>31</v>
      </c>
      <c r="C17" s="173" t="s">
        <v>25</v>
      </c>
      <c r="D17" s="119"/>
      <c r="E17" s="30">
        <v>2</v>
      </c>
      <c r="F17" s="30">
        <v>2</v>
      </c>
      <c r="G17" s="174">
        <v>42156</v>
      </c>
      <c r="H17" s="287" t="str">
        <f>CONCATENATE("Level"," ",MIN(E17:E19))</f>
        <v>Level 1</v>
      </c>
      <c r="I17" s="287" t="str">
        <f t="shared" si="0"/>
        <v>Level 1</v>
      </c>
      <c r="T17" s="19" t="s">
        <v>244</v>
      </c>
      <c r="U17" s="19" t="s">
        <v>209</v>
      </c>
      <c r="V17" s="19"/>
    </row>
    <row r="18" spans="1:22" ht="30" x14ac:dyDescent="0.25">
      <c r="A18" s="144" t="s">
        <v>135</v>
      </c>
      <c r="B18" s="175" t="s">
        <v>31</v>
      </c>
      <c r="C18" s="176" t="s">
        <v>26</v>
      </c>
      <c r="D18" s="122"/>
      <c r="E18" s="26">
        <v>1</v>
      </c>
      <c r="F18" s="26">
        <v>1</v>
      </c>
      <c r="G18" s="177">
        <v>42156</v>
      </c>
      <c r="H18" s="250"/>
      <c r="I18" s="250"/>
      <c r="T18" s="19" t="s">
        <v>244</v>
      </c>
      <c r="U18" s="19" t="s">
        <v>209</v>
      </c>
      <c r="V18" s="19"/>
    </row>
    <row r="19" spans="1:22" ht="30.75" thickBot="1" x14ac:dyDescent="0.3">
      <c r="A19" s="145" t="s">
        <v>135</v>
      </c>
      <c r="B19" s="178" t="s">
        <v>31</v>
      </c>
      <c r="C19" s="179" t="s">
        <v>27</v>
      </c>
      <c r="D19" s="120"/>
      <c r="E19" s="31">
        <v>2</v>
      </c>
      <c r="F19" s="31">
        <v>2</v>
      </c>
      <c r="G19" s="180">
        <v>42156</v>
      </c>
      <c r="H19" s="250"/>
      <c r="I19" s="250"/>
      <c r="T19" s="19" t="s">
        <v>244</v>
      </c>
      <c r="U19" s="19" t="s">
        <v>209</v>
      </c>
      <c r="V19" s="19"/>
    </row>
    <row r="20" spans="1:22" ht="30.75" thickTop="1" x14ac:dyDescent="0.25">
      <c r="A20" s="146" t="s">
        <v>135</v>
      </c>
      <c r="B20" s="181" t="s">
        <v>32</v>
      </c>
      <c r="C20" s="182" t="s">
        <v>25</v>
      </c>
      <c r="D20" s="117"/>
      <c r="E20" s="65">
        <v>1</v>
      </c>
      <c r="F20" s="65">
        <v>2</v>
      </c>
      <c r="G20" s="183">
        <v>42156</v>
      </c>
      <c r="H20" s="287" t="str">
        <f t="shared" ref="H20" si="4">CONCATENATE("Level"," ",MIN(E20:E22))</f>
        <v>Level 1</v>
      </c>
      <c r="I20" s="287" t="str">
        <f t="shared" si="0"/>
        <v>Level 1</v>
      </c>
      <c r="T20" s="19" t="s">
        <v>244</v>
      </c>
      <c r="U20" s="19" t="s">
        <v>209</v>
      </c>
      <c r="V20" s="19"/>
    </row>
    <row r="21" spans="1:22" ht="30" x14ac:dyDescent="0.25">
      <c r="A21" s="147" t="s">
        <v>135</v>
      </c>
      <c r="B21" s="184" t="s">
        <v>32</v>
      </c>
      <c r="C21" s="185" t="s">
        <v>26</v>
      </c>
      <c r="D21" s="121"/>
      <c r="E21" s="66">
        <v>2</v>
      </c>
      <c r="F21" s="66">
        <v>3</v>
      </c>
      <c r="G21" s="186">
        <v>42156</v>
      </c>
      <c r="H21" s="250"/>
      <c r="I21" s="250"/>
      <c r="T21" s="19" t="s">
        <v>244</v>
      </c>
      <c r="U21" s="19" t="s">
        <v>209</v>
      </c>
      <c r="V21" s="19"/>
    </row>
    <row r="22" spans="1:22" ht="30.75" thickBot="1" x14ac:dyDescent="0.3">
      <c r="A22" s="148" t="s">
        <v>135</v>
      </c>
      <c r="B22" s="187" t="s">
        <v>32</v>
      </c>
      <c r="C22" s="188" t="s">
        <v>27</v>
      </c>
      <c r="D22" s="118"/>
      <c r="E22" s="67">
        <v>1</v>
      </c>
      <c r="F22" s="67">
        <v>1</v>
      </c>
      <c r="G22" s="189">
        <v>42156</v>
      </c>
      <c r="H22" s="250"/>
      <c r="I22" s="250"/>
      <c r="T22" s="19" t="s">
        <v>244</v>
      </c>
      <c r="U22" s="19" t="s">
        <v>209</v>
      </c>
      <c r="V22" s="19"/>
    </row>
    <row r="23" spans="1:22" ht="30.75" thickTop="1" x14ac:dyDescent="0.25">
      <c r="A23" s="143" t="s">
        <v>135</v>
      </c>
      <c r="B23" s="172" t="s">
        <v>33</v>
      </c>
      <c r="C23" s="173" t="s">
        <v>25</v>
      </c>
      <c r="D23" s="119"/>
      <c r="E23" s="30">
        <v>1</v>
      </c>
      <c r="F23" s="30">
        <v>2</v>
      </c>
      <c r="G23" s="174">
        <v>42156</v>
      </c>
      <c r="H23" s="287" t="str">
        <f t="shared" ref="H23" si="5">CONCATENATE("Level"," ",MIN(E23:E25))</f>
        <v>Level 1</v>
      </c>
      <c r="I23" s="287" t="str">
        <f t="shared" si="0"/>
        <v>Level 2</v>
      </c>
      <c r="T23" s="19" t="s">
        <v>244</v>
      </c>
      <c r="U23" s="19" t="s">
        <v>209</v>
      </c>
      <c r="V23" s="19"/>
    </row>
    <row r="24" spans="1:22" ht="30" x14ac:dyDescent="0.25">
      <c r="A24" s="144" t="s">
        <v>135</v>
      </c>
      <c r="B24" s="175" t="s">
        <v>33</v>
      </c>
      <c r="C24" s="176" t="s">
        <v>26</v>
      </c>
      <c r="D24" s="122"/>
      <c r="E24" s="26">
        <v>1</v>
      </c>
      <c r="F24" s="26">
        <v>2</v>
      </c>
      <c r="G24" s="177">
        <v>42156</v>
      </c>
      <c r="H24" s="250"/>
      <c r="I24" s="250"/>
      <c r="T24" s="19" t="s">
        <v>244</v>
      </c>
      <c r="U24" s="19" t="s">
        <v>209</v>
      </c>
      <c r="V24" s="19"/>
    </row>
    <row r="25" spans="1:22" ht="30.75" thickBot="1" x14ac:dyDescent="0.3">
      <c r="A25" s="145" t="s">
        <v>135</v>
      </c>
      <c r="B25" s="178" t="s">
        <v>33</v>
      </c>
      <c r="C25" s="179" t="s">
        <v>27</v>
      </c>
      <c r="D25" s="120"/>
      <c r="E25" s="31">
        <v>1</v>
      </c>
      <c r="F25" s="31">
        <v>3</v>
      </c>
      <c r="G25" s="180">
        <v>42156</v>
      </c>
      <c r="H25" s="250"/>
      <c r="I25" s="250"/>
      <c r="T25" s="19" t="s">
        <v>244</v>
      </c>
      <c r="U25" s="19" t="s">
        <v>209</v>
      </c>
      <c r="V25" s="19"/>
    </row>
    <row r="26" spans="1:22" ht="15.75" thickTop="1" x14ac:dyDescent="0.25">
      <c r="A26" s="146" t="s">
        <v>136</v>
      </c>
      <c r="B26" s="181" t="s">
        <v>24</v>
      </c>
      <c r="C26" s="181" t="s">
        <v>25</v>
      </c>
      <c r="D26" s="90"/>
      <c r="E26" s="65">
        <v>1</v>
      </c>
      <c r="F26" s="65">
        <v>2</v>
      </c>
      <c r="G26" s="183">
        <v>42156</v>
      </c>
      <c r="H26" s="287" t="str">
        <f t="shared" ref="H26" si="6">CONCATENATE("Level"," ",MIN(E26:E28))</f>
        <v>Level 1</v>
      </c>
      <c r="I26" s="287" t="str">
        <f t="shared" si="0"/>
        <v>Level 2</v>
      </c>
      <c r="T26" s="19" t="s">
        <v>244</v>
      </c>
      <c r="U26" s="19" t="s">
        <v>209</v>
      </c>
      <c r="V26" s="19"/>
    </row>
    <row r="27" spans="1:22" x14ac:dyDescent="0.25">
      <c r="A27" s="147" t="s">
        <v>136</v>
      </c>
      <c r="B27" s="184" t="s">
        <v>24</v>
      </c>
      <c r="C27" s="184" t="s">
        <v>26</v>
      </c>
      <c r="D27" s="91"/>
      <c r="E27" s="66">
        <v>1</v>
      </c>
      <c r="F27" s="66">
        <v>3</v>
      </c>
      <c r="G27" s="186">
        <v>42156</v>
      </c>
      <c r="H27" s="250"/>
      <c r="I27" s="250"/>
      <c r="T27" s="19" t="s">
        <v>244</v>
      </c>
      <c r="U27" s="19" t="s">
        <v>209</v>
      </c>
      <c r="V27" s="19"/>
    </row>
    <row r="28" spans="1:22" ht="15.75" thickBot="1" x14ac:dyDescent="0.3">
      <c r="A28" s="148" t="s">
        <v>136</v>
      </c>
      <c r="B28" s="187" t="s">
        <v>24</v>
      </c>
      <c r="C28" s="187" t="s">
        <v>27</v>
      </c>
      <c r="D28" s="103"/>
      <c r="E28" s="67">
        <v>1</v>
      </c>
      <c r="F28" s="67">
        <v>2</v>
      </c>
      <c r="G28" s="189">
        <v>42156</v>
      </c>
      <c r="H28" s="250"/>
      <c r="I28" s="250"/>
      <c r="T28" s="19" t="s">
        <v>244</v>
      </c>
      <c r="U28" s="19" t="s">
        <v>209</v>
      </c>
      <c r="V28" s="19"/>
    </row>
    <row r="29" spans="1:22" ht="15.75" thickTop="1" x14ac:dyDescent="0.25">
      <c r="A29" s="143" t="s">
        <v>136</v>
      </c>
      <c r="B29" s="172" t="s">
        <v>28</v>
      </c>
      <c r="C29" s="172" t="s">
        <v>25</v>
      </c>
      <c r="D29" s="104"/>
      <c r="E29" s="30">
        <v>4</v>
      </c>
      <c r="F29" s="30">
        <v>5</v>
      </c>
      <c r="G29" s="174">
        <v>42156</v>
      </c>
      <c r="H29" s="287" t="str">
        <f t="shared" ref="H29" si="7">CONCATENATE("Level"," ",MIN(E29:E31))</f>
        <v>Level 4</v>
      </c>
      <c r="I29" s="287" t="str">
        <f t="shared" si="0"/>
        <v>Level 4</v>
      </c>
      <c r="T29" s="19" t="s">
        <v>244</v>
      </c>
      <c r="U29" s="19" t="s">
        <v>209</v>
      </c>
      <c r="V29" s="19"/>
    </row>
    <row r="30" spans="1:22" x14ac:dyDescent="0.25">
      <c r="A30" s="144" t="s">
        <v>136</v>
      </c>
      <c r="B30" s="175" t="s">
        <v>28</v>
      </c>
      <c r="C30" s="175" t="s">
        <v>26</v>
      </c>
      <c r="D30" s="98"/>
      <c r="E30" s="26">
        <v>4</v>
      </c>
      <c r="F30" s="26">
        <v>4</v>
      </c>
      <c r="G30" s="177">
        <v>42156</v>
      </c>
      <c r="H30" s="250"/>
      <c r="I30" s="250"/>
      <c r="T30" s="19" t="s">
        <v>244</v>
      </c>
      <c r="U30" s="19" t="s">
        <v>209</v>
      </c>
      <c r="V30" s="19"/>
    </row>
    <row r="31" spans="1:22" ht="15.75" thickBot="1" x14ac:dyDescent="0.3">
      <c r="A31" s="145" t="s">
        <v>136</v>
      </c>
      <c r="B31" s="178" t="s">
        <v>28</v>
      </c>
      <c r="C31" s="178" t="s">
        <v>27</v>
      </c>
      <c r="D31" s="99"/>
      <c r="E31" s="31">
        <v>4</v>
      </c>
      <c r="F31" s="31">
        <v>5</v>
      </c>
      <c r="G31" s="180">
        <v>42156</v>
      </c>
      <c r="H31" s="250"/>
      <c r="I31" s="250"/>
      <c r="T31" s="19" t="s">
        <v>244</v>
      </c>
      <c r="U31" s="19" t="s">
        <v>209</v>
      </c>
      <c r="V31" s="19"/>
    </row>
    <row r="32" spans="1:22" ht="15.75" thickTop="1" x14ac:dyDescent="0.25">
      <c r="A32" s="146" t="s">
        <v>136</v>
      </c>
      <c r="B32" s="181" t="s">
        <v>29</v>
      </c>
      <c r="C32" s="181" t="s">
        <v>25</v>
      </c>
      <c r="D32" s="100"/>
      <c r="E32" s="65">
        <v>2</v>
      </c>
      <c r="F32" s="65">
        <v>3</v>
      </c>
      <c r="G32" s="183">
        <v>42156</v>
      </c>
      <c r="H32" s="287" t="str">
        <f t="shared" ref="H32:I95" si="8">CONCATENATE("Level"," ",MIN(E32:E34))</f>
        <v>Level 2</v>
      </c>
      <c r="I32" s="287" t="str">
        <f t="shared" si="0"/>
        <v>Level 3</v>
      </c>
      <c r="T32" s="19" t="s">
        <v>244</v>
      </c>
      <c r="U32" s="19" t="s">
        <v>209</v>
      </c>
      <c r="V32" s="19"/>
    </row>
    <row r="33" spans="1:22" x14ac:dyDescent="0.25">
      <c r="A33" s="147" t="s">
        <v>136</v>
      </c>
      <c r="B33" s="184" t="s">
        <v>29</v>
      </c>
      <c r="C33" s="184" t="s">
        <v>26</v>
      </c>
      <c r="D33" s="92"/>
      <c r="E33" s="66">
        <v>2</v>
      </c>
      <c r="F33" s="66">
        <v>3</v>
      </c>
      <c r="G33" s="186">
        <v>42156</v>
      </c>
      <c r="H33" s="250"/>
      <c r="I33" s="250"/>
      <c r="T33" s="19" t="s">
        <v>244</v>
      </c>
      <c r="U33" s="19" t="s">
        <v>209</v>
      </c>
      <c r="V33" s="19"/>
    </row>
    <row r="34" spans="1:22" ht="15.75" thickBot="1" x14ac:dyDescent="0.3">
      <c r="A34" s="148" t="s">
        <v>136</v>
      </c>
      <c r="B34" s="187" t="s">
        <v>29</v>
      </c>
      <c r="C34" s="187" t="s">
        <v>27</v>
      </c>
      <c r="D34" s="94"/>
      <c r="E34" s="67">
        <v>2</v>
      </c>
      <c r="F34" s="67">
        <v>3</v>
      </c>
      <c r="G34" s="189">
        <v>42156</v>
      </c>
      <c r="H34" s="250"/>
      <c r="I34" s="250"/>
      <c r="T34" s="19" t="s">
        <v>244</v>
      </c>
      <c r="U34" s="19" t="s">
        <v>209</v>
      </c>
      <c r="V34" s="19"/>
    </row>
    <row r="35" spans="1:22" ht="15.75" thickTop="1" x14ac:dyDescent="0.25">
      <c r="A35" s="143" t="s">
        <v>136</v>
      </c>
      <c r="B35" s="172" t="s">
        <v>30</v>
      </c>
      <c r="C35" s="172" t="s">
        <v>25</v>
      </c>
      <c r="D35" s="95"/>
      <c r="E35" s="30">
        <v>2</v>
      </c>
      <c r="F35" s="30">
        <v>3</v>
      </c>
      <c r="G35" s="174">
        <v>42156</v>
      </c>
      <c r="H35" s="287" t="str">
        <f t="shared" si="8"/>
        <v>Level 2</v>
      </c>
      <c r="I35" s="287" t="str">
        <f t="shared" si="0"/>
        <v>Level 3</v>
      </c>
      <c r="T35" s="19" t="s">
        <v>244</v>
      </c>
      <c r="U35" s="19" t="s">
        <v>209</v>
      </c>
      <c r="V35" s="19"/>
    </row>
    <row r="36" spans="1:22" x14ac:dyDescent="0.25">
      <c r="A36" s="144" t="s">
        <v>136</v>
      </c>
      <c r="B36" s="175" t="s">
        <v>30</v>
      </c>
      <c r="C36" s="175" t="s">
        <v>26</v>
      </c>
      <c r="D36" s="96"/>
      <c r="E36" s="26">
        <v>2</v>
      </c>
      <c r="F36" s="26">
        <v>3</v>
      </c>
      <c r="G36" s="177">
        <v>42156</v>
      </c>
      <c r="H36" s="250"/>
      <c r="I36" s="250"/>
      <c r="T36" s="19" t="s">
        <v>244</v>
      </c>
      <c r="U36" s="19" t="s">
        <v>209</v>
      </c>
      <c r="V36" s="19"/>
    </row>
    <row r="37" spans="1:22" ht="15.75" thickBot="1" x14ac:dyDescent="0.3">
      <c r="A37" s="145" t="s">
        <v>136</v>
      </c>
      <c r="B37" s="178" t="s">
        <v>30</v>
      </c>
      <c r="C37" s="178" t="s">
        <v>27</v>
      </c>
      <c r="D37" s="99"/>
      <c r="E37" s="31">
        <v>2</v>
      </c>
      <c r="F37" s="31">
        <v>3</v>
      </c>
      <c r="G37" s="180">
        <v>42156</v>
      </c>
      <c r="H37" s="250"/>
      <c r="I37" s="250"/>
      <c r="T37" s="19" t="s">
        <v>244</v>
      </c>
      <c r="U37" s="19" t="s">
        <v>209</v>
      </c>
      <c r="V37" s="19"/>
    </row>
    <row r="38" spans="1:22" ht="15.75" thickTop="1" x14ac:dyDescent="0.25">
      <c r="A38" s="146" t="s">
        <v>136</v>
      </c>
      <c r="B38" s="181" t="s">
        <v>31</v>
      </c>
      <c r="C38" s="181" t="s">
        <v>25</v>
      </c>
      <c r="D38" s="100"/>
      <c r="E38" s="65">
        <v>1</v>
      </c>
      <c r="F38" s="65">
        <v>2</v>
      </c>
      <c r="G38" s="183">
        <v>42156</v>
      </c>
      <c r="H38" s="287" t="str">
        <f t="shared" si="8"/>
        <v>Level 1</v>
      </c>
      <c r="I38" s="287" t="str">
        <f t="shared" si="0"/>
        <v>Level 2</v>
      </c>
      <c r="T38" s="19" t="s">
        <v>244</v>
      </c>
      <c r="U38" s="19" t="s">
        <v>209</v>
      </c>
      <c r="V38" s="19"/>
    </row>
    <row r="39" spans="1:22" x14ac:dyDescent="0.25">
      <c r="A39" s="147" t="s">
        <v>136</v>
      </c>
      <c r="B39" s="184" t="s">
        <v>31</v>
      </c>
      <c r="C39" s="184" t="s">
        <v>26</v>
      </c>
      <c r="D39" s="92"/>
      <c r="E39" s="66">
        <v>2</v>
      </c>
      <c r="F39" s="66">
        <v>2</v>
      </c>
      <c r="G39" s="186">
        <v>42156</v>
      </c>
      <c r="H39" s="250"/>
      <c r="I39" s="250"/>
      <c r="T39" s="19" t="s">
        <v>244</v>
      </c>
      <c r="U39" s="19" t="s">
        <v>209</v>
      </c>
      <c r="V39" s="19"/>
    </row>
    <row r="40" spans="1:22" ht="15.75" thickBot="1" x14ac:dyDescent="0.3">
      <c r="A40" s="148" t="s">
        <v>136</v>
      </c>
      <c r="B40" s="187" t="s">
        <v>31</v>
      </c>
      <c r="C40" s="187" t="s">
        <v>27</v>
      </c>
      <c r="D40" s="94"/>
      <c r="E40" s="67">
        <v>1</v>
      </c>
      <c r="F40" s="67">
        <v>3</v>
      </c>
      <c r="G40" s="189">
        <v>42156</v>
      </c>
      <c r="H40" s="250"/>
      <c r="I40" s="250"/>
      <c r="T40" s="19" t="s">
        <v>244</v>
      </c>
      <c r="U40" s="19" t="s">
        <v>209</v>
      </c>
      <c r="V40" s="19"/>
    </row>
    <row r="41" spans="1:22" ht="15.75" thickTop="1" x14ac:dyDescent="0.25">
      <c r="A41" s="143" t="s">
        <v>136</v>
      </c>
      <c r="B41" s="172" t="s">
        <v>32</v>
      </c>
      <c r="C41" s="172" t="s">
        <v>25</v>
      </c>
      <c r="D41" s="95"/>
      <c r="E41" s="30">
        <v>2</v>
      </c>
      <c r="F41" s="30">
        <v>3</v>
      </c>
      <c r="G41" s="174">
        <v>42156</v>
      </c>
      <c r="H41" s="287" t="str">
        <f t="shared" si="8"/>
        <v>Level 2</v>
      </c>
      <c r="I41" s="287" t="str">
        <f t="shared" si="0"/>
        <v>Level 3</v>
      </c>
      <c r="T41" s="19" t="s">
        <v>244</v>
      </c>
      <c r="U41" s="19" t="s">
        <v>209</v>
      </c>
      <c r="V41" s="19"/>
    </row>
    <row r="42" spans="1:22" x14ac:dyDescent="0.25">
      <c r="A42" s="144" t="s">
        <v>136</v>
      </c>
      <c r="B42" s="175" t="s">
        <v>32</v>
      </c>
      <c r="C42" s="175" t="s">
        <v>26</v>
      </c>
      <c r="D42" s="96"/>
      <c r="E42" s="26">
        <v>2</v>
      </c>
      <c r="F42" s="26">
        <v>3</v>
      </c>
      <c r="G42" s="177">
        <v>42156</v>
      </c>
      <c r="H42" s="250"/>
      <c r="I42" s="250"/>
      <c r="T42" s="19" t="s">
        <v>244</v>
      </c>
      <c r="U42" s="19" t="s">
        <v>209</v>
      </c>
      <c r="V42" s="19"/>
    </row>
    <row r="43" spans="1:22" ht="15.75" thickBot="1" x14ac:dyDescent="0.3">
      <c r="A43" s="145" t="s">
        <v>136</v>
      </c>
      <c r="B43" s="178" t="s">
        <v>32</v>
      </c>
      <c r="C43" s="178" t="s">
        <v>27</v>
      </c>
      <c r="D43" s="102"/>
      <c r="E43" s="31">
        <v>2</v>
      </c>
      <c r="F43" s="31">
        <v>3</v>
      </c>
      <c r="G43" s="180">
        <v>42156</v>
      </c>
      <c r="H43" s="250"/>
      <c r="I43" s="250"/>
      <c r="T43" s="19" t="s">
        <v>244</v>
      </c>
      <c r="U43" s="19" t="s">
        <v>209</v>
      </c>
      <c r="V43" s="19"/>
    </row>
    <row r="44" spans="1:22" ht="15.75" thickTop="1" x14ac:dyDescent="0.25">
      <c r="A44" s="146" t="s">
        <v>136</v>
      </c>
      <c r="B44" s="181" t="s">
        <v>33</v>
      </c>
      <c r="C44" s="181" t="s">
        <v>25</v>
      </c>
      <c r="D44" s="90"/>
      <c r="E44" s="65">
        <v>2</v>
      </c>
      <c r="F44" s="65">
        <v>2</v>
      </c>
      <c r="G44" s="183">
        <v>42156</v>
      </c>
      <c r="H44" s="287" t="str">
        <f t="shared" si="8"/>
        <v>Level 2</v>
      </c>
      <c r="I44" s="287" t="str">
        <f t="shared" si="0"/>
        <v>Level 2</v>
      </c>
      <c r="T44" s="19" t="s">
        <v>244</v>
      </c>
      <c r="U44" s="19" t="s">
        <v>209</v>
      </c>
      <c r="V44" s="19"/>
    </row>
    <row r="45" spans="1:22" x14ac:dyDescent="0.25">
      <c r="A45" s="147" t="s">
        <v>136</v>
      </c>
      <c r="B45" s="184" t="s">
        <v>33</v>
      </c>
      <c r="C45" s="184" t="s">
        <v>26</v>
      </c>
      <c r="D45" s="93"/>
      <c r="E45" s="66">
        <v>2</v>
      </c>
      <c r="F45" s="66">
        <v>2</v>
      </c>
      <c r="G45" s="186">
        <v>42156</v>
      </c>
      <c r="H45" s="250"/>
      <c r="I45" s="250"/>
      <c r="T45" s="19" t="s">
        <v>244</v>
      </c>
      <c r="U45" s="19" t="s">
        <v>209</v>
      </c>
      <c r="V45" s="19"/>
    </row>
    <row r="46" spans="1:22" ht="15.75" thickBot="1" x14ac:dyDescent="0.3">
      <c r="A46" s="148" t="s">
        <v>136</v>
      </c>
      <c r="B46" s="187" t="s">
        <v>33</v>
      </c>
      <c r="C46" s="187" t="s">
        <v>27</v>
      </c>
      <c r="D46" s="101"/>
      <c r="E46" s="67">
        <v>2</v>
      </c>
      <c r="F46" s="67">
        <v>2</v>
      </c>
      <c r="G46" s="189">
        <v>42156</v>
      </c>
      <c r="H46" s="250"/>
      <c r="I46" s="250"/>
      <c r="T46" s="19" t="s">
        <v>244</v>
      </c>
      <c r="U46" s="19" t="s">
        <v>209</v>
      </c>
      <c r="V46" s="19"/>
    </row>
    <row r="47" spans="1:22" ht="15.75" thickTop="1" x14ac:dyDescent="0.25">
      <c r="A47" s="143" t="s">
        <v>137</v>
      </c>
      <c r="B47" s="172" t="s">
        <v>24</v>
      </c>
      <c r="C47" s="172" t="s">
        <v>25</v>
      </c>
      <c r="D47" s="95"/>
      <c r="E47" s="30">
        <v>1</v>
      </c>
      <c r="F47" s="30">
        <v>2</v>
      </c>
      <c r="G47" s="174">
        <v>42156</v>
      </c>
      <c r="H47" s="287" t="str">
        <f t="shared" si="8"/>
        <v>Level 1</v>
      </c>
      <c r="I47" s="287" t="str">
        <f t="shared" si="0"/>
        <v>Level 1</v>
      </c>
      <c r="T47" s="19" t="s">
        <v>244</v>
      </c>
      <c r="U47" s="19"/>
      <c r="V47" s="19"/>
    </row>
    <row r="48" spans="1:22" x14ac:dyDescent="0.25">
      <c r="A48" s="144" t="s">
        <v>137</v>
      </c>
      <c r="B48" s="175" t="s">
        <v>24</v>
      </c>
      <c r="C48" s="175" t="s">
        <v>26</v>
      </c>
      <c r="D48" s="98"/>
      <c r="E48" s="26">
        <v>2</v>
      </c>
      <c r="F48" s="26">
        <v>2</v>
      </c>
      <c r="G48" s="177">
        <v>42156</v>
      </c>
      <c r="H48" s="250"/>
      <c r="I48" s="250"/>
      <c r="T48" s="19" t="s">
        <v>244</v>
      </c>
      <c r="U48" s="19"/>
      <c r="V48" s="19"/>
    </row>
    <row r="49" spans="1:22" ht="15.75" thickBot="1" x14ac:dyDescent="0.3">
      <c r="A49" s="145" t="s">
        <v>137</v>
      </c>
      <c r="B49" s="178" t="s">
        <v>24</v>
      </c>
      <c r="C49" s="178" t="s">
        <v>27</v>
      </c>
      <c r="D49" s="99"/>
      <c r="E49" s="31">
        <v>1</v>
      </c>
      <c r="F49" s="31">
        <v>1</v>
      </c>
      <c r="G49" s="180">
        <v>42156</v>
      </c>
      <c r="H49" s="250"/>
      <c r="I49" s="250"/>
      <c r="T49" s="19" t="s">
        <v>244</v>
      </c>
      <c r="U49" s="19"/>
      <c r="V49" s="19"/>
    </row>
    <row r="50" spans="1:22" ht="15.75" thickTop="1" x14ac:dyDescent="0.25">
      <c r="A50" s="146" t="s">
        <v>137</v>
      </c>
      <c r="B50" s="181" t="s">
        <v>28</v>
      </c>
      <c r="C50" s="181" t="s">
        <v>25</v>
      </c>
      <c r="D50" s="100"/>
      <c r="E50" s="65">
        <v>4</v>
      </c>
      <c r="F50" s="65">
        <v>5</v>
      </c>
      <c r="G50" s="183">
        <v>42156</v>
      </c>
      <c r="H50" s="287" t="str">
        <f t="shared" si="8"/>
        <v>Level 4</v>
      </c>
      <c r="I50" s="287" t="str">
        <f t="shared" si="0"/>
        <v>Level 4</v>
      </c>
      <c r="T50" s="19" t="s">
        <v>244</v>
      </c>
      <c r="U50" s="19"/>
      <c r="V50" s="19"/>
    </row>
    <row r="51" spans="1:22" x14ac:dyDescent="0.25">
      <c r="A51" s="147" t="s">
        <v>137</v>
      </c>
      <c r="B51" s="184" t="s">
        <v>28</v>
      </c>
      <c r="C51" s="184" t="s">
        <v>26</v>
      </c>
      <c r="D51" s="91"/>
      <c r="E51" s="66">
        <v>4</v>
      </c>
      <c r="F51" s="66">
        <v>4</v>
      </c>
      <c r="G51" s="186">
        <v>42156</v>
      </c>
      <c r="H51" s="250"/>
      <c r="I51" s="250"/>
      <c r="T51" s="19" t="s">
        <v>244</v>
      </c>
      <c r="U51" s="19"/>
      <c r="V51" s="19"/>
    </row>
    <row r="52" spans="1:22" ht="15.75" thickBot="1" x14ac:dyDescent="0.3">
      <c r="A52" s="148" t="s">
        <v>137</v>
      </c>
      <c r="B52" s="187" t="s">
        <v>28</v>
      </c>
      <c r="C52" s="187" t="s">
        <v>27</v>
      </c>
      <c r="D52" s="103"/>
      <c r="E52" s="67">
        <v>4</v>
      </c>
      <c r="F52" s="67">
        <v>4</v>
      </c>
      <c r="G52" s="189">
        <v>42156</v>
      </c>
      <c r="H52" s="250"/>
      <c r="I52" s="250"/>
      <c r="T52" s="19" t="s">
        <v>244</v>
      </c>
      <c r="U52" s="19"/>
      <c r="V52" s="19"/>
    </row>
    <row r="53" spans="1:22" ht="15.75" thickTop="1" x14ac:dyDescent="0.25">
      <c r="A53" s="143" t="s">
        <v>137</v>
      </c>
      <c r="B53" s="172" t="s">
        <v>29</v>
      </c>
      <c r="C53" s="172" t="s">
        <v>25</v>
      </c>
      <c r="D53" s="104"/>
      <c r="E53" s="30">
        <v>2</v>
      </c>
      <c r="F53" s="30">
        <v>2</v>
      </c>
      <c r="G53" s="174">
        <v>42156</v>
      </c>
      <c r="H53" s="287" t="str">
        <f t="shared" si="8"/>
        <v>Level 2</v>
      </c>
      <c r="I53" s="287" t="str">
        <f t="shared" si="0"/>
        <v>Level 2</v>
      </c>
      <c r="T53" s="19" t="s">
        <v>244</v>
      </c>
      <c r="U53" s="19"/>
      <c r="V53" s="19"/>
    </row>
    <row r="54" spans="1:22" x14ac:dyDescent="0.25">
      <c r="A54" s="144" t="s">
        <v>137</v>
      </c>
      <c r="B54" s="175" t="s">
        <v>29</v>
      </c>
      <c r="C54" s="175" t="s">
        <v>26</v>
      </c>
      <c r="D54" s="97"/>
      <c r="E54" s="26">
        <v>2</v>
      </c>
      <c r="F54" s="26">
        <v>2</v>
      </c>
      <c r="G54" s="177">
        <v>42156</v>
      </c>
      <c r="H54" s="250"/>
      <c r="I54" s="250"/>
      <c r="T54" s="19" t="s">
        <v>244</v>
      </c>
      <c r="U54" s="19"/>
      <c r="V54" s="19"/>
    </row>
    <row r="55" spans="1:22" ht="15.75" thickBot="1" x14ac:dyDescent="0.3">
      <c r="A55" s="145" t="s">
        <v>137</v>
      </c>
      <c r="B55" s="178" t="s">
        <v>29</v>
      </c>
      <c r="C55" s="178" t="s">
        <v>27</v>
      </c>
      <c r="D55" s="102"/>
      <c r="E55" s="31">
        <v>2</v>
      </c>
      <c r="F55" s="31">
        <v>2</v>
      </c>
      <c r="G55" s="180">
        <v>42156</v>
      </c>
      <c r="H55" s="250"/>
      <c r="I55" s="250"/>
      <c r="T55" s="19" t="s">
        <v>244</v>
      </c>
      <c r="U55" s="19"/>
      <c r="V55" s="19"/>
    </row>
    <row r="56" spans="1:22" ht="15.75" thickTop="1" x14ac:dyDescent="0.25">
      <c r="A56" s="146" t="s">
        <v>137</v>
      </c>
      <c r="B56" s="181" t="s">
        <v>30</v>
      </c>
      <c r="C56" s="181" t="s">
        <v>25</v>
      </c>
      <c r="D56" s="90"/>
      <c r="E56" s="65">
        <v>1</v>
      </c>
      <c r="F56" s="65">
        <v>2</v>
      </c>
      <c r="G56" s="183">
        <v>42156</v>
      </c>
      <c r="H56" s="287" t="str">
        <f t="shared" si="8"/>
        <v>Level 1</v>
      </c>
      <c r="I56" s="287" t="str">
        <f t="shared" si="0"/>
        <v>Level 2</v>
      </c>
      <c r="T56" s="19" t="s">
        <v>244</v>
      </c>
      <c r="U56" s="19"/>
      <c r="V56" s="19"/>
    </row>
    <row r="57" spans="1:22" x14ac:dyDescent="0.25">
      <c r="A57" s="147" t="s">
        <v>137</v>
      </c>
      <c r="B57" s="184" t="s">
        <v>30</v>
      </c>
      <c r="C57" s="184" t="s">
        <v>26</v>
      </c>
      <c r="D57" s="93"/>
      <c r="E57" s="66">
        <v>1</v>
      </c>
      <c r="F57" s="66">
        <v>2</v>
      </c>
      <c r="G57" s="186">
        <v>42156</v>
      </c>
      <c r="H57" s="250"/>
      <c r="I57" s="250"/>
      <c r="T57" s="19" t="s">
        <v>244</v>
      </c>
      <c r="U57" s="19"/>
      <c r="V57" s="19"/>
    </row>
    <row r="58" spans="1:22" ht="15.75" thickBot="1" x14ac:dyDescent="0.3">
      <c r="A58" s="148" t="s">
        <v>137</v>
      </c>
      <c r="B58" s="187" t="s">
        <v>30</v>
      </c>
      <c r="C58" s="187" t="s">
        <v>27</v>
      </c>
      <c r="D58" s="103"/>
      <c r="E58" s="67">
        <v>2</v>
      </c>
      <c r="F58" s="67">
        <v>3</v>
      </c>
      <c r="G58" s="189">
        <v>42156</v>
      </c>
      <c r="H58" s="250"/>
      <c r="I58" s="250"/>
      <c r="T58" s="19" t="s">
        <v>244</v>
      </c>
      <c r="U58" s="19"/>
      <c r="V58" s="19"/>
    </row>
    <row r="59" spans="1:22" ht="15.75" thickTop="1" x14ac:dyDescent="0.25">
      <c r="A59" s="143" t="s">
        <v>137</v>
      </c>
      <c r="B59" s="172" t="s">
        <v>31</v>
      </c>
      <c r="C59" s="172" t="s">
        <v>25</v>
      </c>
      <c r="D59" s="104"/>
      <c r="E59" s="30">
        <v>2</v>
      </c>
      <c r="F59" s="30">
        <v>2</v>
      </c>
      <c r="G59" s="174">
        <v>42156</v>
      </c>
      <c r="H59" s="287" t="str">
        <f t="shared" si="8"/>
        <v>Level 1</v>
      </c>
      <c r="I59" s="287" t="str">
        <f t="shared" si="0"/>
        <v>Level 1</v>
      </c>
      <c r="T59" s="19" t="s">
        <v>244</v>
      </c>
      <c r="U59" s="19"/>
      <c r="V59" s="19"/>
    </row>
    <row r="60" spans="1:22" x14ac:dyDescent="0.25">
      <c r="A60" s="144" t="s">
        <v>137</v>
      </c>
      <c r="B60" s="175" t="s">
        <v>31</v>
      </c>
      <c r="C60" s="175" t="s">
        <v>26</v>
      </c>
      <c r="D60" s="97"/>
      <c r="E60" s="26">
        <v>1</v>
      </c>
      <c r="F60" s="26">
        <v>1</v>
      </c>
      <c r="G60" s="177">
        <v>42156</v>
      </c>
      <c r="H60" s="250"/>
      <c r="I60" s="250"/>
      <c r="T60" s="19" t="s">
        <v>244</v>
      </c>
      <c r="U60" s="19"/>
      <c r="V60" s="19"/>
    </row>
    <row r="61" spans="1:22" ht="15.75" thickBot="1" x14ac:dyDescent="0.3">
      <c r="A61" s="145" t="s">
        <v>137</v>
      </c>
      <c r="B61" s="178" t="s">
        <v>31</v>
      </c>
      <c r="C61" s="178" t="s">
        <v>27</v>
      </c>
      <c r="D61" s="102"/>
      <c r="E61" s="31">
        <v>1</v>
      </c>
      <c r="F61" s="31">
        <v>1</v>
      </c>
      <c r="G61" s="180">
        <v>42156</v>
      </c>
      <c r="H61" s="250"/>
      <c r="I61" s="250"/>
      <c r="T61" s="19" t="s">
        <v>244</v>
      </c>
      <c r="U61" s="19"/>
      <c r="V61" s="19"/>
    </row>
    <row r="62" spans="1:22" ht="15.75" thickTop="1" x14ac:dyDescent="0.25">
      <c r="A62" s="146" t="s">
        <v>137</v>
      </c>
      <c r="B62" s="181" t="s">
        <v>32</v>
      </c>
      <c r="C62" s="181" t="s">
        <v>25</v>
      </c>
      <c r="D62" s="90"/>
      <c r="E62" s="65">
        <v>1</v>
      </c>
      <c r="F62" s="65">
        <v>2</v>
      </c>
      <c r="G62" s="183">
        <v>42156</v>
      </c>
      <c r="H62" s="287" t="str">
        <f t="shared" si="8"/>
        <v>Level 1</v>
      </c>
      <c r="I62" s="287" t="str">
        <f t="shared" si="0"/>
        <v>Level 1</v>
      </c>
      <c r="T62" s="19" t="s">
        <v>244</v>
      </c>
      <c r="U62" s="19"/>
      <c r="V62" s="19"/>
    </row>
    <row r="63" spans="1:22" x14ac:dyDescent="0.25">
      <c r="A63" s="147" t="s">
        <v>137</v>
      </c>
      <c r="B63" s="184" t="s">
        <v>32</v>
      </c>
      <c r="C63" s="184" t="s">
        <v>26</v>
      </c>
      <c r="D63" s="93"/>
      <c r="E63" s="66">
        <v>2</v>
      </c>
      <c r="F63" s="66">
        <v>3</v>
      </c>
      <c r="G63" s="186">
        <v>42156</v>
      </c>
      <c r="H63" s="250"/>
      <c r="I63" s="250"/>
      <c r="T63" s="19" t="s">
        <v>244</v>
      </c>
      <c r="U63" s="19"/>
      <c r="V63" s="19"/>
    </row>
    <row r="64" spans="1:22" ht="15.75" thickBot="1" x14ac:dyDescent="0.3">
      <c r="A64" s="148" t="s">
        <v>137</v>
      </c>
      <c r="B64" s="187" t="s">
        <v>32</v>
      </c>
      <c r="C64" s="187" t="s">
        <v>27</v>
      </c>
      <c r="D64" s="94"/>
      <c r="E64" s="67">
        <v>1</v>
      </c>
      <c r="F64" s="67">
        <v>1</v>
      </c>
      <c r="G64" s="189">
        <v>42156</v>
      </c>
      <c r="H64" s="250"/>
      <c r="I64" s="250"/>
      <c r="T64" s="19" t="s">
        <v>244</v>
      </c>
      <c r="U64" s="19"/>
      <c r="V64" s="19"/>
    </row>
    <row r="65" spans="1:22" ht="15.75" thickTop="1" x14ac:dyDescent="0.25">
      <c r="A65" s="143" t="s">
        <v>137</v>
      </c>
      <c r="B65" s="172" t="s">
        <v>33</v>
      </c>
      <c r="C65" s="172" t="s">
        <v>25</v>
      </c>
      <c r="D65" s="95"/>
      <c r="E65" s="30">
        <v>1</v>
      </c>
      <c r="F65" s="30">
        <v>1</v>
      </c>
      <c r="G65" s="174">
        <v>42156</v>
      </c>
      <c r="H65" s="287" t="str">
        <f t="shared" si="8"/>
        <v>Level 1</v>
      </c>
      <c r="I65" s="287" t="str">
        <f t="shared" si="0"/>
        <v>Level 1</v>
      </c>
      <c r="T65" s="19" t="s">
        <v>244</v>
      </c>
      <c r="U65" s="19"/>
      <c r="V65" s="19"/>
    </row>
    <row r="66" spans="1:22" x14ac:dyDescent="0.25">
      <c r="A66" s="144" t="s">
        <v>137</v>
      </c>
      <c r="B66" s="175" t="s">
        <v>33</v>
      </c>
      <c r="C66" s="175" t="s">
        <v>26</v>
      </c>
      <c r="D66" s="96"/>
      <c r="E66" s="26">
        <v>1</v>
      </c>
      <c r="F66" s="26">
        <v>1</v>
      </c>
      <c r="G66" s="177">
        <v>42156</v>
      </c>
      <c r="H66" s="250"/>
      <c r="I66" s="250"/>
      <c r="T66" s="19" t="s">
        <v>244</v>
      </c>
      <c r="U66" s="19"/>
      <c r="V66" s="19"/>
    </row>
    <row r="67" spans="1:22" ht="15.75" thickBot="1" x14ac:dyDescent="0.3">
      <c r="A67" s="145" t="s">
        <v>137</v>
      </c>
      <c r="B67" s="178" t="s">
        <v>33</v>
      </c>
      <c r="C67" s="178" t="s">
        <v>27</v>
      </c>
      <c r="D67" s="99"/>
      <c r="E67" s="31">
        <v>1</v>
      </c>
      <c r="F67" s="31">
        <v>1</v>
      </c>
      <c r="G67" s="180">
        <v>42156</v>
      </c>
      <c r="H67" s="250"/>
      <c r="I67" s="250"/>
      <c r="T67" s="19" t="s">
        <v>244</v>
      </c>
      <c r="U67" s="19"/>
      <c r="V67" s="19"/>
    </row>
    <row r="68" spans="1:22" ht="30.75" thickTop="1" x14ac:dyDescent="0.25">
      <c r="A68" s="146" t="s">
        <v>138</v>
      </c>
      <c r="B68" s="181" t="s">
        <v>24</v>
      </c>
      <c r="C68" s="181" t="s">
        <v>25</v>
      </c>
      <c r="D68" s="90"/>
      <c r="E68" s="65">
        <v>2</v>
      </c>
      <c r="F68" s="65">
        <v>2</v>
      </c>
      <c r="G68" s="183">
        <v>42156</v>
      </c>
      <c r="H68" s="287" t="str">
        <f t="shared" si="8"/>
        <v>Level 2</v>
      </c>
      <c r="I68" s="287" t="str">
        <f t="shared" si="0"/>
        <v>Level 2</v>
      </c>
      <c r="T68" s="19" t="s">
        <v>244</v>
      </c>
      <c r="U68" s="19" t="s">
        <v>209</v>
      </c>
      <c r="V68" s="19"/>
    </row>
    <row r="69" spans="1:22" ht="30" x14ac:dyDescent="0.25">
      <c r="A69" s="147" t="s">
        <v>138</v>
      </c>
      <c r="B69" s="184" t="s">
        <v>24</v>
      </c>
      <c r="C69" s="184" t="s">
        <v>26</v>
      </c>
      <c r="D69" s="91"/>
      <c r="E69" s="66">
        <v>2</v>
      </c>
      <c r="F69" s="66">
        <v>2</v>
      </c>
      <c r="G69" s="186">
        <v>42156</v>
      </c>
      <c r="H69" s="250"/>
      <c r="I69" s="250"/>
      <c r="T69" s="19" t="s">
        <v>244</v>
      </c>
      <c r="U69" s="19" t="s">
        <v>209</v>
      </c>
      <c r="V69" s="19"/>
    </row>
    <row r="70" spans="1:22" ht="30.75" thickBot="1" x14ac:dyDescent="0.3">
      <c r="A70" s="148" t="s">
        <v>138</v>
      </c>
      <c r="B70" s="187" t="s">
        <v>24</v>
      </c>
      <c r="C70" s="187" t="s">
        <v>27</v>
      </c>
      <c r="D70" s="103"/>
      <c r="E70" s="67">
        <v>2</v>
      </c>
      <c r="F70" s="67">
        <v>2</v>
      </c>
      <c r="G70" s="189">
        <v>42156</v>
      </c>
      <c r="H70" s="250"/>
      <c r="I70" s="250"/>
      <c r="T70" s="19" t="s">
        <v>244</v>
      </c>
      <c r="U70" s="19" t="s">
        <v>209</v>
      </c>
      <c r="V70" s="19"/>
    </row>
    <row r="71" spans="1:22" ht="30.75" thickTop="1" x14ac:dyDescent="0.25">
      <c r="A71" s="143" t="s">
        <v>138</v>
      </c>
      <c r="B71" s="172" t="s">
        <v>28</v>
      </c>
      <c r="C71" s="172" t="s">
        <v>25</v>
      </c>
      <c r="D71" s="104"/>
      <c r="E71" s="30">
        <v>4</v>
      </c>
      <c r="F71" s="30">
        <v>5</v>
      </c>
      <c r="G71" s="174">
        <v>42156</v>
      </c>
      <c r="H71" s="287" t="str">
        <f t="shared" si="8"/>
        <v>Level 4</v>
      </c>
      <c r="I71" s="287" t="str">
        <f t="shared" si="8"/>
        <v>Level 5</v>
      </c>
      <c r="T71" s="19" t="s">
        <v>244</v>
      </c>
      <c r="U71" s="19" t="s">
        <v>209</v>
      </c>
      <c r="V71" s="19"/>
    </row>
    <row r="72" spans="1:22" ht="30" x14ac:dyDescent="0.25">
      <c r="A72" s="144" t="s">
        <v>138</v>
      </c>
      <c r="B72" s="175" t="s">
        <v>28</v>
      </c>
      <c r="C72" s="175" t="s">
        <v>26</v>
      </c>
      <c r="D72" s="98"/>
      <c r="E72" s="26">
        <v>4</v>
      </c>
      <c r="F72" s="26">
        <v>5</v>
      </c>
      <c r="G72" s="177">
        <v>42156</v>
      </c>
      <c r="H72" s="250"/>
      <c r="I72" s="250"/>
      <c r="T72" s="19" t="s">
        <v>244</v>
      </c>
      <c r="U72" s="19" t="s">
        <v>209</v>
      </c>
      <c r="V72" s="19"/>
    </row>
    <row r="73" spans="1:22" ht="30.75" thickBot="1" x14ac:dyDescent="0.3">
      <c r="A73" s="145" t="s">
        <v>138</v>
      </c>
      <c r="B73" s="178" t="s">
        <v>28</v>
      </c>
      <c r="C73" s="178" t="s">
        <v>27</v>
      </c>
      <c r="D73" s="99"/>
      <c r="E73" s="31">
        <v>4</v>
      </c>
      <c r="F73" s="31">
        <v>5</v>
      </c>
      <c r="G73" s="180">
        <v>42156</v>
      </c>
      <c r="H73" s="250"/>
      <c r="I73" s="250"/>
      <c r="T73" s="19" t="s">
        <v>244</v>
      </c>
      <c r="U73" s="19" t="s">
        <v>209</v>
      </c>
      <c r="V73" s="19"/>
    </row>
    <row r="74" spans="1:22" ht="30.75" thickTop="1" x14ac:dyDescent="0.25">
      <c r="A74" s="146" t="s">
        <v>138</v>
      </c>
      <c r="B74" s="181" t="s">
        <v>29</v>
      </c>
      <c r="C74" s="181" t="s">
        <v>25</v>
      </c>
      <c r="D74" s="100"/>
      <c r="E74" s="65">
        <v>2</v>
      </c>
      <c r="F74" s="65">
        <v>3</v>
      </c>
      <c r="G74" s="183">
        <v>42156</v>
      </c>
      <c r="H74" s="287" t="str">
        <f t="shared" si="8"/>
        <v>Level 2</v>
      </c>
      <c r="I74" s="287" t="str">
        <f t="shared" si="8"/>
        <v>Level 3</v>
      </c>
      <c r="T74" s="19" t="s">
        <v>244</v>
      </c>
      <c r="U74" s="19" t="s">
        <v>209</v>
      </c>
      <c r="V74" s="19"/>
    </row>
    <row r="75" spans="1:22" ht="30" x14ac:dyDescent="0.25">
      <c r="A75" s="147" t="s">
        <v>138</v>
      </c>
      <c r="B75" s="184" t="s">
        <v>29</v>
      </c>
      <c r="C75" s="184" t="s">
        <v>26</v>
      </c>
      <c r="D75" s="92"/>
      <c r="E75" s="66">
        <v>2</v>
      </c>
      <c r="F75" s="66">
        <v>3</v>
      </c>
      <c r="G75" s="186">
        <v>42156</v>
      </c>
      <c r="H75" s="250"/>
      <c r="I75" s="250"/>
      <c r="T75" s="19" t="s">
        <v>244</v>
      </c>
      <c r="U75" s="19" t="s">
        <v>209</v>
      </c>
      <c r="V75" s="19"/>
    </row>
    <row r="76" spans="1:22" ht="30.75" thickBot="1" x14ac:dyDescent="0.3">
      <c r="A76" s="148" t="s">
        <v>138</v>
      </c>
      <c r="B76" s="187" t="s">
        <v>29</v>
      </c>
      <c r="C76" s="187" t="s">
        <v>27</v>
      </c>
      <c r="D76" s="94"/>
      <c r="E76" s="67">
        <v>2</v>
      </c>
      <c r="F76" s="67">
        <v>3</v>
      </c>
      <c r="G76" s="189">
        <v>42156</v>
      </c>
      <c r="H76" s="250"/>
      <c r="I76" s="250"/>
      <c r="T76" s="19" t="s">
        <v>244</v>
      </c>
      <c r="U76" s="19" t="s">
        <v>209</v>
      </c>
      <c r="V76" s="19"/>
    </row>
    <row r="77" spans="1:22" ht="30.75" thickTop="1" x14ac:dyDescent="0.25">
      <c r="A77" s="143" t="s">
        <v>138</v>
      </c>
      <c r="B77" s="172" t="s">
        <v>30</v>
      </c>
      <c r="C77" s="172" t="s">
        <v>25</v>
      </c>
      <c r="D77" s="104"/>
      <c r="E77" s="30">
        <v>2</v>
      </c>
      <c r="F77" s="30">
        <v>2</v>
      </c>
      <c r="G77" s="174">
        <v>42156</v>
      </c>
      <c r="H77" s="287" t="str">
        <f t="shared" si="8"/>
        <v>Level 1</v>
      </c>
      <c r="I77" s="287" t="str">
        <f t="shared" si="8"/>
        <v>Level 2</v>
      </c>
      <c r="T77" s="19" t="s">
        <v>244</v>
      </c>
      <c r="U77" s="19" t="s">
        <v>209</v>
      </c>
      <c r="V77" s="19"/>
    </row>
    <row r="78" spans="1:22" ht="30" x14ac:dyDescent="0.25">
      <c r="A78" s="144" t="s">
        <v>138</v>
      </c>
      <c r="B78" s="175" t="s">
        <v>30</v>
      </c>
      <c r="C78" s="175" t="s">
        <v>26</v>
      </c>
      <c r="D78" s="98"/>
      <c r="E78" s="26">
        <v>1</v>
      </c>
      <c r="F78" s="26">
        <v>2</v>
      </c>
      <c r="G78" s="177">
        <v>42156</v>
      </c>
      <c r="H78" s="250"/>
      <c r="I78" s="250"/>
      <c r="T78" s="19" t="s">
        <v>244</v>
      </c>
      <c r="U78" s="19" t="s">
        <v>209</v>
      </c>
      <c r="V78" s="19"/>
    </row>
    <row r="79" spans="1:22" ht="30.75" thickBot="1" x14ac:dyDescent="0.3">
      <c r="A79" s="145" t="s">
        <v>138</v>
      </c>
      <c r="B79" s="178" t="s">
        <v>30</v>
      </c>
      <c r="C79" s="178" t="s">
        <v>27</v>
      </c>
      <c r="D79" s="99"/>
      <c r="E79" s="31">
        <v>2</v>
      </c>
      <c r="F79" s="31">
        <v>2</v>
      </c>
      <c r="G79" s="180">
        <v>42156</v>
      </c>
      <c r="H79" s="250"/>
      <c r="I79" s="250"/>
      <c r="T79" s="19" t="s">
        <v>244</v>
      </c>
      <c r="U79" s="19" t="s">
        <v>209</v>
      </c>
      <c r="V79" s="19"/>
    </row>
    <row r="80" spans="1:22" ht="30.75" thickTop="1" x14ac:dyDescent="0.25">
      <c r="A80" s="146" t="s">
        <v>138</v>
      </c>
      <c r="B80" s="181" t="s">
        <v>31</v>
      </c>
      <c r="C80" s="181" t="s">
        <v>25</v>
      </c>
      <c r="D80" s="100"/>
      <c r="E80" s="65">
        <v>2</v>
      </c>
      <c r="F80" s="65">
        <v>3</v>
      </c>
      <c r="G80" s="183">
        <v>42156</v>
      </c>
      <c r="H80" s="287" t="str">
        <f t="shared" si="8"/>
        <v>Level 2</v>
      </c>
      <c r="I80" s="287" t="str">
        <f t="shared" si="8"/>
        <v>Level 3</v>
      </c>
      <c r="T80" s="19" t="s">
        <v>244</v>
      </c>
      <c r="U80" s="19" t="s">
        <v>209</v>
      </c>
      <c r="V80" s="19"/>
    </row>
    <row r="81" spans="1:22" ht="30" x14ac:dyDescent="0.25">
      <c r="A81" s="147" t="s">
        <v>138</v>
      </c>
      <c r="B81" s="184" t="s">
        <v>31</v>
      </c>
      <c r="C81" s="184" t="s">
        <v>26</v>
      </c>
      <c r="D81" s="92"/>
      <c r="E81" s="66">
        <v>2</v>
      </c>
      <c r="F81" s="66">
        <v>3</v>
      </c>
      <c r="G81" s="186">
        <v>42156</v>
      </c>
      <c r="H81" s="250"/>
      <c r="I81" s="250"/>
      <c r="T81" s="19" t="s">
        <v>244</v>
      </c>
      <c r="U81" s="19" t="s">
        <v>209</v>
      </c>
      <c r="V81" s="19"/>
    </row>
    <row r="82" spans="1:22" ht="30.75" thickBot="1" x14ac:dyDescent="0.3">
      <c r="A82" s="148" t="s">
        <v>138</v>
      </c>
      <c r="B82" s="187" t="s">
        <v>31</v>
      </c>
      <c r="C82" s="187" t="s">
        <v>27</v>
      </c>
      <c r="D82" s="94"/>
      <c r="E82" s="67">
        <v>2</v>
      </c>
      <c r="F82" s="67">
        <v>3</v>
      </c>
      <c r="G82" s="189">
        <v>42156</v>
      </c>
      <c r="H82" s="250"/>
      <c r="I82" s="250"/>
      <c r="T82" s="19" t="s">
        <v>244</v>
      </c>
      <c r="U82" s="19" t="s">
        <v>209</v>
      </c>
      <c r="V82" s="19"/>
    </row>
    <row r="83" spans="1:22" ht="30.75" thickTop="1" x14ac:dyDescent="0.25">
      <c r="A83" s="143" t="s">
        <v>138</v>
      </c>
      <c r="B83" s="172" t="s">
        <v>32</v>
      </c>
      <c r="C83" s="172" t="s">
        <v>25</v>
      </c>
      <c r="D83" s="95"/>
      <c r="E83" s="30">
        <v>2</v>
      </c>
      <c r="F83" s="30">
        <v>3</v>
      </c>
      <c r="G83" s="174">
        <v>42156</v>
      </c>
      <c r="H83" s="287" t="str">
        <f t="shared" si="8"/>
        <v>Level 2</v>
      </c>
      <c r="I83" s="287" t="str">
        <f t="shared" si="8"/>
        <v>Level 3</v>
      </c>
      <c r="T83" s="19" t="s">
        <v>244</v>
      </c>
      <c r="U83" s="19" t="s">
        <v>209</v>
      </c>
      <c r="V83" s="19"/>
    </row>
    <row r="84" spans="1:22" ht="30" x14ac:dyDescent="0.25">
      <c r="A84" s="144" t="s">
        <v>138</v>
      </c>
      <c r="B84" s="175" t="s">
        <v>32</v>
      </c>
      <c r="C84" s="175" t="s">
        <v>26</v>
      </c>
      <c r="D84" s="96"/>
      <c r="E84" s="26">
        <v>2</v>
      </c>
      <c r="F84" s="26">
        <v>3</v>
      </c>
      <c r="G84" s="177">
        <v>42156</v>
      </c>
      <c r="H84" s="250"/>
      <c r="I84" s="250"/>
      <c r="T84" s="19" t="s">
        <v>244</v>
      </c>
      <c r="U84" s="19" t="s">
        <v>209</v>
      </c>
      <c r="V84" s="19"/>
    </row>
    <row r="85" spans="1:22" ht="30.75" thickBot="1" x14ac:dyDescent="0.3">
      <c r="A85" s="145" t="s">
        <v>138</v>
      </c>
      <c r="B85" s="178" t="s">
        <v>32</v>
      </c>
      <c r="C85" s="178" t="s">
        <v>27</v>
      </c>
      <c r="D85" s="102"/>
      <c r="E85" s="31">
        <v>2</v>
      </c>
      <c r="F85" s="31">
        <v>3</v>
      </c>
      <c r="G85" s="180">
        <v>42156</v>
      </c>
      <c r="H85" s="250"/>
      <c r="I85" s="250"/>
      <c r="T85" s="19" t="s">
        <v>244</v>
      </c>
      <c r="U85" s="19" t="s">
        <v>209</v>
      </c>
      <c r="V85" s="19"/>
    </row>
    <row r="86" spans="1:22" ht="30.75" thickTop="1" x14ac:dyDescent="0.25">
      <c r="A86" s="146" t="s">
        <v>138</v>
      </c>
      <c r="B86" s="181" t="s">
        <v>33</v>
      </c>
      <c r="C86" s="181" t="s">
        <v>25</v>
      </c>
      <c r="D86" s="90"/>
      <c r="E86" s="65">
        <v>2</v>
      </c>
      <c r="F86" s="65">
        <v>3</v>
      </c>
      <c r="G86" s="183">
        <v>42156</v>
      </c>
      <c r="H86" s="287" t="str">
        <f t="shared" si="8"/>
        <v>Level 2</v>
      </c>
      <c r="I86" s="287" t="str">
        <f t="shared" si="8"/>
        <v>Level 3</v>
      </c>
      <c r="T86" s="19" t="s">
        <v>244</v>
      </c>
      <c r="U86" s="19" t="s">
        <v>209</v>
      </c>
      <c r="V86" s="19"/>
    </row>
    <row r="87" spans="1:22" ht="30" x14ac:dyDescent="0.25">
      <c r="A87" s="147" t="s">
        <v>138</v>
      </c>
      <c r="B87" s="184" t="s">
        <v>33</v>
      </c>
      <c r="C87" s="184" t="s">
        <v>26</v>
      </c>
      <c r="D87" s="93"/>
      <c r="E87" s="66">
        <v>2</v>
      </c>
      <c r="F87" s="66">
        <v>3</v>
      </c>
      <c r="G87" s="186">
        <v>42156</v>
      </c>
      <c r="H87" s="250"/>
      <c r="I87" s="250"/>
      <c r="T87" s="19" t="s">
        <v>244</v>
      </c>
      <c r="U87" s="19" t="s">
        <v>209</v>
      </c>
      <c r="V87" s="19"/>
    </row>
    <row r="88" spans="1:22" ht="30.75" thickBot="1" x14ac:dyDescent="0.3">
      <c r="A88" s="148" t="s">
        <v>138</v>
      </c>
      <c r="B88" s="187" t="s">
        <v>33</v>
      </c>
      <c r="C88" s="187" t="s">
        <v>27</v>
      </c>
      <c r="D88" s="103"/>
      <c r="E88" s="67">
        <v>2</v>
      </c>
      <c r="F88" s="67">
        <v>3</v>
      </c>
      <c r="G88" s="189">
        <v>42156</v>
      </c>
      <c r="H88" s="250"/>
      <c r="I88" s="250"/>
      <c r="T88" s="19" t="s">
        <v>244</v>
      </c>
      <c r="U88" s="19" t="s">
        <v>209</v>
      </c>
      <c r="V88" s="19"/>
    </row>
    <row r="89" spans="1:22" ht="15.75" thickTop="1" x14ac:dyDescent="0.25">
      <c r="A89" s="143" t="s">
        <v>139</v>
      </c>
      <c r="B89" s="172" t="s">
        <v>24</v>
      </c>
      <c r="C89" s="172" t="s">
        <v>25</v>
      </c>
      <c r="D89" s="95"/>
      <c r="E89" s="30">
        <v>1</v>
      </c>
      <c r="F89" s="30">
        <v>1</v>
      </c>
      <c r="G89" s="174">
        <v>42156</v>
      </c>
      <c r="H89" s="287" t="str">
        <f t="shared" si="8"/>
        <v>Level 1</v>
      </c>
      <c r="I89" s="287" t="str">
        <f t="shared" si="8"/>
        <v>Level 1</v>
      </c>
      <c r="T89" s="19" t="s">
        <v>244</v>
      </c>
      <c r="U89" s="19" t="s">
        <v>209</v>
      </c>
      <c r="V89" s="19"/>
    </row>
    <row r="90" spans="1:22" x14ac:dyDescent="0.25">
      <c r="A90" s="144" t="s">
        <v>139</v>
      </c>
      <c r="B90" s="175" t="s">
        <v>24</v>
      </c>
      <c r="C90" s="175" t="s">
        <v>26</v>
      </c>
      <c r="D90" s="98"/>
      <c r="E90" s="26">
        <v>2</v>
      </c>
      <c r="F90" s="26">
        <v>2</v>
      </c>
      <c r="G90" s="177">
        <v>42156</v>
      </c>
      <c r="H90" s="250"/>
      <c r="I90" s="250"/>
      <c r="T90" s="19" t="s">
        <v>244</v>
      </c>
      <c r="U90" s="19" t="s">
        <v>209</v>
      </c>
      <c r="V90" s="19"/>
    </row>
    <row r="91" spans="1:22" ht="15.75" thickBot="1" x14ac:dyDescent="0.3">
      <c r="A91" s="145" t="s">
        <v>139</v>
      </c>
      <c r="B91" s="178" t="s">
        <v>24</v>
      </c>
      <c r="C91" s="178" t="s">
        <v>27</v>
      </c>
      <c r="D91" s="99"/>
      <c r="E91" s="31">
        <v>2</v>
      </c>
      <c r="F91" s="31">
        <v>2</v>
      </c>
      <c r="G91" s="180">
        <v>42156</v>
      </c>
      <c r="H91" s="250"/>
      <c r="I91" s="250"/>
      <c r="T91" s="19" t="s">
        <v>244</v>
      </c>
      <c r="U91" s="19" t="s">
        <v>209</v>
      </c>
      <c r="V91" s="19"/>
    </row>
    <row r="92" spans="1:22" ht="15.75" thickTop="1" x14ac:dyDescent="0.25">
      <c r="A92" s="146" t="s">
        <v>139</v>
      </c>
      <c r="B92" s="181" t="s">
        <v>28</v>
      </c>
      <c r="C92" s="181" t="s">
        <v>25</v>
      </c>
      <c r="D92" s="100"/>
      <c r="E92" s="65">
        <v>4</v>
      </c>
      <c r="F92" s="65">
        <v>4</v>
      </c>
      <c r="G92" s="183">
        <v>42156</v>
      </c>
      <c r="H92" s="287" t="str">
        <f t="shared" si="8"/>
        <v>Level 4</v>
      </c>
      <c r="I92" s="287" t="str">
        <f t="shared" si="8"/>
        <v>Level 4</v>
      </c>
      <c r="T92" s="19" t="s">
        <v>244</v>
      </c>
      <c r="U92" s="19" t="s">
        <v>209</v>
      </c>
      <c r="V92" s="19"/>
    </row>
    <row r="93" spans="1:22" x14ac:dyDescent="0.25">
      <c r="A93" s="147" t="s">
        <v>139</v>
      </c>
      <c r="B93" s="184" t="s">
        <v>28</v>
      </c>
      <c r="C93" s="184" t="s">
        <v>26</v>
      </c>
      <c r="D93" s="91"/>
      <c r="E93" s="66">
        <v>4</v>
      </c>
      <c r="F93" s="66">
        <v>4</v>
      </c>
      <c r="G93" s="186">
        <v>42156</v>
      </c>
      <c r="H93" s="250"/>
      <c r="I93" s="250"/>
      <c r="T93" s="19" t="s">
        <v>244</v>
      </c>
      <c r="U93" s="19" t="s">
        <v>209</v>
      </c>
      <c r="V93" s="19"/>
    </row>
    <row r="94" spans="1:22" ht="15.75" thickBot="1" x14ac:dyDescent="0.3">
      <c r="A94" s="148" t="s">
        <v>139</v>
      </c>
      <c r="B94" s="187" t="s">
        <v>28</v>
      </c>
      <c r="C94" s="187" t="s">
        <v>27</v>
      </c>
      <c r="D94" s="103"/>
      <c r="E94" s="67">
        <v>4</v>
      </c>
      <c r="F94" s="67">
        <v>4</v>
      </c>
      <c r="G94" s="189">
        <v>42156</v>
      </c>
      <c r="H94" s="250"/>
      <c r="I94" s="250"/>
      <c r="T94" s="19" t="s">
        <v>244</v>
      </c>
      <c r="U94" s="19" t="s">
        <v>209</v>
      </c>
      <c r="V94" s="19"/>
    </row>
    <row r="95" spans="1:22" ht="15.75" thickTop="1" x14ac:dyDescent="0.25">
      <c r="A95" s="143" t="s">
        <v>139</v>
      </c>
      <c r="B95" s="172" t="s">
        <v>29</v>
      </c>
      <c r="C95" s="172" t="s">
        <v>25</v>
      </c>
      <c r="D95" s="104"/>
      <c r="E95" s="30">
        <v>1</v>
      </c>
      <c r="F95" s="30">
        <v>1</v>
      </c>
      <c r="G95" s="174">
        <v>42156</v>
      </c>
      <c r="H95" s="287" t="str">
        <f t="shared" si="8"/>
        <v>Level 1</v>
      </c>
      <c r="I95" s="287" t="str">
        <f t="shared" si="8"/>
        <v>Level 1</v>
      </c>
      <c r="T95" s="19" t="s">
        <v>244</v>
      </c>
      <c r="U95" s="19" t="s">
        <v>209</v>
      </c>
      <c r="V95" s="19"/>
    </row>
    <row r="96" spans="1:22" x14ac:dyDescent="0.25">
      <c r="A96" s="144" t="s">
        <v>139</v>
      </c>
      <c r="B96" s="175" t="s">
        <v>29</v>
      </c>
      <c r="C96" s="175" t="s">
        <v>26</v>
      </c>
      <c r="D96" s="97"/>
      <c r="E96" s="26">
        <v>2</v>
      </c>
      <c r="F96" s="26">
        <v>2</v>
      </c>
      <c r="G96" s="177">
        <v>42156</v>
      </c>
      <c r="H96" s="250"/>
      <c r="I96" s="250"/>
      <c r="T96" s="19" t="s">
        <v>244</v>
      </c>
      <c r="U96" s="19" t="s">
        <v>209</v>
      </c>
      <c r="V96" s="19"/>
    </row>
    <row r="97" spans="1:22" ht="15.75" thickBot="1" x14ac:dyDescent="0.3">
      <c r="A97" s="145" t="s">
        <v>139</v>
      </c>
      <c r="B97" s="178" t="s">
        <v>29</v>
      </c>
      <c r="C97" s="178" t="s">
        <v>27</v>
      </c>
      <c r="D97" s="102"/>
      <c r="E97" s="31">
        <v>2</v>
      </c>
      <c r="F97" s="31">
        <v>2</v>
      </c>
      <c r="G97" s="180">
        <v>42156</v>
      </c>
      <c r="H97" s="250"/>
      <c r="I97" s="250"/>
      <c r="T97" s="19" t="s">
        <v>244</v>
      </c>
      <c r="U97" s="19" t="s">
        <v>209</v>
      </c>
      <c r="V97" s="19"/>
    </row>
    <row r="98" spans="1:22" ht="15.75" thickTop="1" x14ac:dyDescent="0.25">
      <c r="A98" s="146" t="s">
        <v>139</v>
      </c>
      <c r="B98" s="181" t="s">
        <v>30</v>
      </c>
      <c r="C98" s="181" t="s">
        <v>25</v>
      </c>
      <c r="D98" s="100"/>
      <c r="E98" s="65">
        <v>1</v>
      </c>
      <c r="F98" s="65">
        <v>2</v>
      </c>
      <c r="G98" s="183">
        <v>42156</v>
      </c>
      <c r="H98" s="287" t="str">
        <f t="shared" ref="H98:I137" si="9">CONCATENATE("Level"," ",MIN(E98:E100))</f>
        <v>Level 1</v>
      </c>
      <c r="I98" s="287" t="str">
        <f t="shared" si="9"/>
        <v>Level 2</v>
      </c>
      <c r="T98" s="19" t="s">
        <v>244</v>
      </c>
      <c r="U98" s="19" t="s">
        <v>209</v>
      </c>
      <c r="V98" s="19"/>
    </row>
    <row r="99" spans="1:22" x14ac:dyDescent="0.25">
      <c r="A99" s="147" t="s">
        <v>139</v>
      </c>
      <c r="B99" s="184" t="s">
        <v>30</v>
      </c>
      <c r="C99" s="184" t="s">
        <v>26</v>
      </c>
      <c r="D99" s="91"/>
      <c r="E99" s="66">
        <v>1</v>
      </c>
      <c r="F99" s="66">
        <v>2</v>
      </c>
      <c r="G99" s="186">
        <v>42156</v>
      </c>
      <c r="H99" s="250"/>
      <c r="I99" s="250"/>
      <c r="T99" s="19" t="s">
        <v>244</v>
      </c>
      <c r="U99" s="19" t="s">
        <v>209</v>
      </c>
      <c r="V99" s="19"/>
    </row>
    <row r="100" spans="1:22" ht="15.75" thickBot="1" x14ac:dyDescent="0.3">
      <c r="A100" s="148" t="s">
        <v>139</v>
      </c>
      <c r="B100" s="187" t="s">
        <v>30</v>
      </c>
      <c r="C100" s="187" t="s">
        <v>27</v>
      </c>
      <c r="D100" s="103"/>
      <c r="E100" s="67">
        <v>2</v>
      </c>
      <c r="F100" s="67">
        <v>3</v>
      </c>
      <c r="G100" s="189">
        <v>42156</v>
      </c>
      <c r="H100" s="250"/>
      <c r="I100" s="250"/>
      <c r="T100" s="19" t="s">
        <v>244</v>
      </c>
      <c r="U100" s="19" t="s">
        <v>209</v>
      </c>
      <c r="V100" s="19"/>
    </row>
    <row r="101" spans="1:22" ht="15.75" thickTop="1" x14ac:dyDescent="0.25">
      <c r="A101" s="143" t="s">
        <v>139</v>
      </c>
      <c r="B101" s="172" t="s">
        <v>31</v>
      </c>
      <c r="C101" s="172" t="s">
        <v>25</v>
      </c>
      <c r="D101" s="104"/>
      <c r="E101" s="30">
        <v>2</v>
      </c>
      <c r="F101" s="30">
        <v>2</v>
      </c>
      <c r="G101" s="174">
        <v>42156</v>
      </c>
      <c r="H101" s="287" t="str">
        <f t="shared" si="9"/>
        <v>Level 1</v>
      </c>
      <c r="I101" s="287" t="str">
        <f t="shared" si="9"/>
        <v>Level 2</v>
      </c>
      <c r="T101" s="19" t="s">
        <v>244</v>
      </c>
      <c r="U101" s="19" t="s">
        <v>209</v>
      </c>
      <c r="V101" s="19"/>
    </row>
    <row r="102" spans="1:22" x14ac:dyDescent="0.25">
      <c r="A102" s="144" t="s">
        <v>139</v>
      </c>
      <c r="B102" s="175" t="s">
        <v>31</v>
      </c>
      <c r="C102" s="175" t="s">
        <v>26</v>
      </c>
      <c r="D102" s="97"/>
      <c r="E102" s="26">
        <v>1</v>
      </c>
      <c r="F102" s="26">
        <v>2</v>
      </c>
      <c r="G102" s="177">
        <v>42156</v>
      </c>
      <c r="H102" s="250"/>
      <c r="I102" s="250"/>
      <c r="T102" s="19" t="s">
        <v>244</v>
      </c>
      <c r="U102" s="19" t="s">
        <v>209</v>
      </c>
      <c r="V102" s="19"/>
    </row>
    <row r="103" spans="1:22" ht="15.75" thickBot="1" x14ac:dyDescent="0.3">
      <c r="A103" s="145" t="s">
        <v>139</v>
      </c>
      <c r="B103" s="178" t="s">
        <v>31</v>
      </c>
      <c r="C103" s="178" t="s">
        <v>27</v>
      </c>
      <c r="D103" s="102"/>
      <c r="E103" s="31">
        <v>2</v>
      </c>
      <c r="F103" s="31">
        <v>3</v>
      </c>
      <c r="G103" s="180">
        <v>42156</v>
      </c>
      <c r="H103" s="250"/>
      <c r="I103" s="250"/>
      <c r="T103" s="19" t="s">
        <v>244</v>
      </c>
      <c r="U103" s="19" t="s">
        <v>209</v>
      </c>
      <c r="V103" s="19"/>
    </row>
    <row r="104" spans="1:22" ht="15.75" thickTop="1" x14ac:dyDescent="0.25">
      <c r="A104" s="146" t="s">
        <v>139</v>
      </c>
      <c r="B104" s="181" t="s">
        <v>32</v>
      </c>
      <c r="C104" s="181" t="s">
        <v>25</v>
      </c>
      <c r="D104" s="90"/>
      <c r="E104" s="65">
        <v>2</v>
      </c>
      <c r="F104" s="65">
        <v>2</v>
      </c>
      <c r="G104" s="183">
        <v>42156</v>
      </c>
      <c r="H104" s="287" t="str">
        <f t="shared" si="9"/>
        <v>Level 2</v>
      </c>
      <c r="I104" s="287" t="str">
        <f t="shared" si="9"/>
        <v>Level 2</v>
      </c>
      <c r="T104" s="19" t="s">
        <v>244</v>
      </c>
      <c r="U104" s="19" t="s">
        <v>209</v>
      </c>
      <c r="V104" s="19"/>
    </row>
    <row r="105" spans="1:22" x14ac:dyDescent="0.25">
      <c r="A105" s="147" t="s">
        <v>139</v>
      </c>
      <c r="B105" s="184" t="s">
        <v>32</v>
      </c>
      <c r="C105" s="184" t="s">
        <v>26</v>
      </c>
      <c r="D105" s="93"/>
      <c r="E105" s="66">
        <v>2</v>
      </c>
      <c r="F105" s="66">
        <v>3</v>
      </c>
      <c r="G105" s="186">
        <v>42156</v>
      </c>
      <c r="H105" s="250"/>
      <c r="I105" s="250"/>
      <c r="T105" s="19" t="s">
        <v>244</v>
      </c>
      <c r="U105" s="19" t="s">
        <v>209</v>
      </c>
      <c r="V105" s="19"/>
    </row>
    <row r="106" spans="1:22" ht="15.75" thickBot="1" x14ac:dyDescent="0.3">
      <c r="A106" s="148" t="s">
        <v>139</v>
      </c>
      <c r="B106" s="187" t="s">
        <v>32</v>
      </c>
      <c r="C106" s="187" t="s">
        <v>27</v>
      </c>
      <c r="D106" s="94"/>
      <c r="E106" s="67">
        <v>2</v>
      </c>
      <c r="F106" s="67">
        <v>2</v>
      </c>
      <c r="G106" s="189">
        <v>42156</v>
      </c>
      <c r="H106" s="250"/>
      <c r="I106" s="250"/>
      <c r="T106" s="19" t="s">
        <v>244</v>
      </c>
      <c r="U106" s="19" t="s">
        <v>209</v>
      </c>
      <c r="V106" s="19"/>
    </row>
    <row r="107" spans="1:22" ht="15.75" thickTop="1" x14ac:dyDescent="0.25">
      <c r="A107" s="143" t="s">
        <v>139</v>
      </c>
      <c r="B107" s="172" t="s">
        <v>33</v>
      </c>
      <c r="C107" s="172" t="s">
        <v>25</v>
      </c>
      <c r="D107" s="95"/>
      <c r="E107" s="30">
        <v>1</v>
      </c>
      <c r="F107" s="30">
        <v>2</v>
      </c>
      <c r="G107" s="174">
        <v>42156</v>
      </c>
      <c r="H107" s="287" t="str">
        <f t="shared" si="9"/>
        <v>Level 1</v>
      </c>
      <c r="I107" s="287" t="str">
        <f t="shared" si="9"/>
        <v>Level 2</v>
      </c>
      <c r="T107" s="19" t="s">
        <v>244</v>
      </c>
      <c r="U107" s="19" t="s">
        <v>209</v>
      </c>
      <c r="V107" s="19"/>
    </row>
    <row r="108" spans="1:22" x14ac:dyDescent="0.25">
      <c r="A108" s="144" t="s">
        <v>139</v>
      </c>
      <c r="B108" s="175" t="s">
        <v>33</v>
      </c>
      <c r="C108" s="175" t="s">
        <v>26</v>
      </c>
      <c r="D108" s="96"/>
      <c r="E108" s="26">
        <v>2</v>
      </c>
      <c r="F108" s="26">
        <v>2</v>
      </c>
      <c r="G108" s="177">
        <v>42156</v>
      </c>
      <c r="H108" s="250"/>
      <c r="I108" s="250"/>
      <c r="T108" s="19" t="s">
        <v>244</v>
      </c>
      <c r="U108" s="19" t="s">
        <v>209</v>
      </c>
      <c r="V108" s="19"/>
    </row>
    <row r="109" spans="1:22" ht="15.75" thickBot="1" x14ac:dyDescent="0.3">
      <c r="A109" s="145" t="s">
        <v>139</v>
      </c>
      <c r="B109" s="178" t="s">
        <v>33</v>
      </c>
      <c r="C109" s="178" t="s">
        <v>27</v>
      </c>
      <c r="D109" s="111"/>
      <c r="E109" s="31">
        <v>2</v>
      </c>
      <c r="F109" s="31">
        <v>2</v>
      </c>
      <c r="G109" s="180">
        <v>42156</v>
      </c>
      <c r="H109" s="250"/>
      <c r="I109" s="250"/>
      <c r="T109" s="19" t="s">
        <v>244</v>
      </c>
      <c r="U109" s="19" t="s">
        <v>209</v>
      </c>
      <c r="V109" s="19"/>
    </row>
    <row r="110" spans="1:22" ht="15.75" thickTop="1" x14ac:dyDescent="0.25">
      <c r="A110" s="146" t="s">
        <v>140</v>
      </c>
      <c r="B110" s="181" t="s">
        <v>24</v>
      </c>
      <c r="C110" s="181" t="s">
        <v>25</v>
      </c>
      <c r="D110" s="112"/>
      <c r="E110" s="65" t="s">
        <v>210</v>
      </c>
      <c r="F110" s="65" t="s">
        <v>210</v>
      </c>
      <c r="G110" s="183">
        <v>42156</v>
      </c>
      <c r="H110" s="287" t="str">
        <f t="shared" si="9"/>
        <v>Level 0</v>
      </c>
      <c r="I110" s="287" t="str">
        <f t="shared" si="9"/>
        <v>Level 0</v>
      </c>
      <c r="T110" s="19" t="s">
        <v>244</v>
      </c>
      <c r="U110" s="19" t="s">
        <v>209</v>
      </c>
      <c r="V110" s="19"/>
    </row>
    <row r="111" spans="1:22" x14ac:dyDescent="0.25">
      <c r="A111" s="147" t="s">
        <v>140</v>
      </c>
      <c r="B111" s="184" t="s">
        <v>24</v>
      </c>
      <c r="C111" s="184" t="s">
        <v>26</v>
      </c>
      <c r="D111" s="113"/>
      <c r="E111" s="66" t="s">
        <v>210</v>
      </c>
      <c r="F111" s="66" t="s">
        <v>210</v>
      </c>
      <c r="G111" s="186">
        <v>42156</v>
      </c>
      <c r="H111" s="250"/>
      <c r="I111" s="250"/>
      <c r="T111" s="19" t="s">
        <v>244</v>
      </c>
      <c r="U111" s="19" t="s">
        <v>209</v>
      </c>
      <c r="V111" s="19"/>
    </row>
    <row r="112" spans="1:22" ht="15.75" thickBot="1" x14ac:dyDescent="0.3">
      <c r="A112" s="148" t="s">
        <v>140</v>
      </c>
      <c r="B112" s="187" t="s">
        <v>24</v>
      </c>
      <c r="C112" s="187" t="s">
        <v>27</v>
      </c>
      <c r="D112" s="114"/>
      <c r="E112" s="67" t="s">
        <v>210</v>
      </c>
      <c r="F112" s="67" t="s">
        <v>210</v>
      </c>
      <c r="G112" s="189">
        <v>42156</v>
      </c>
      <c r="H112" s="250"/>
      <c r="I112" s="250"/>
      <c r="T112" s="19" t="s">
        <v>244</v>
      </c>
      <c r="U112" s="19" t="s">
        <v>209</v>
      </c>
      <c r="V112" s="19"/>
    </row>
    <row r="113" spans="1:22" ht="15.75" thickTop="1" x14ac:dyDescent="0.25">
      <c r="A113" s="143" t="s">
        <v>140</v>
      </c>
      <c r="B113" s="172" t="s">
        <v>28</v>
      </c>
      <c r="C113" s="172" t="s">
        <v>25</v>
      </c>
      <c r="D113" s="115"/>
      <c r="E113" s="30" t="s">
        <v>210</v>
      </c>
      <c r="F113" s="30" t="s">
        <v>210</v>
      </c>
      <c r="G113" s="174">
        <v>42156</v>
      </c>
      <c r="H113" s="287" t="str">
        <f t="shared" si="9"/>
        <v>Level 0</v>
      </c>
      <c r="I113" s="287" t="str">
        <f t="shared" si="9"/>
        <v>Level 0</v>
      </c>
      <c r="T113" s="19" t="s">
        <v>244</v>
      </c>
      <c r="U113" s="19" t="s">
        <v>209</v>
      </c>
      <c r="V113" s="19"/>
    </row>
    <row r="114" spans="1:22" x14ac:dyDescent="0.25">
      <c r="A114" s="144" t="s">
        <v>140</v>
      </c>
      <c r="B114" s="175" t="s">
        <v>28</v>
      </c>
      <c r="C114" s="175" t="s">
        <v>26</v>
      </c>
      <c r="D114" s="116"/>
      <c r="E114" s="26" t="s">
        <v>210</v>
      </c>
      <c r="F114" s="26" t="s">
        <v>210</v>
      </c>
      <c r="G114" s="177">
        <v>42156</v>
      </c>
      <c r="H114" s="250"/>
      <c r="I114" s="250"/>
      <c r="T114" s="19" t="s">
        <v>244</v>
      </c>
      <c r="U114" s="19" t="s">
        <v>209</v>
      </c>
      <c r="V114" s="19"/>
    </row>
    <row r="115" spans="1:22" ht="15.75" thickBot="1" x14ac:dyDescent="0.3">
      <c r="A115" s="145" t="s">
        <v>140</v>
      </c>
      <c r="B115" s="178" t="s">
        <v>28</v>
      </c>
      <c r="C115" s="178" t="s">
        <v>27</v>
      </c>
      <c r="D115" s="111"/>
      <c r="E115" s="31" t="s">
        <v>210</v>
      </c>
      <c r="F115" s="31" t="s">
        <v>210</v>
      </c>
      <c r="G115" s="180">
        <v>42156</v>
      </c>
      <c r="H115" s="250"/>
      <c r="I115" s="250"/>
      <c r="T115" s="19" t="s">
        <v>244</v>
      </c>
      <c r="U115" s="19" t="s">
        <v>209</v>
      </c>
      <c r="V115" s="19"/>
    </row>
    <row r="116" spans="1:22" ht="15.75" thickTop="1" x14ac:dyDescent="0.25">
      <c r="A116" s="146" t="s">
        <v>140</v>
      </c>
      <c r="B116" s="181" t="s">
        <v>29</v>
      </c>
      <c r="C116" s="181" t="s">
        <v>25</v>
      </c>
      <c r="D116" s="112"/>
      <c r="E116" s="65" t="s">
        <v>210</v>
      </c>
      <c r="F116" s="65" t="s">
        <v>210</v>
      </c>
      <c r="G116" s="183">
        <v>42156</v>
      </c>
      <c r="H116" s="287" t="str">
        <f t="shared" si="9"/>
        <v>Level 0</v>
      </c>
      <c r="I116" s="287" t="str">
        <f t="shared" si="9"/>
        <v>Level 0</v>
      </c>
      <c r="T116" s="19" t="s">
        <v>244</v>
      </c>
      <c r="U116" s="19" t="s">
        <v>209</v>
      </c>
      <c r="V116" s="19"/>
    </row>
    <row r="117" spans="1:22" x14ac:dyDescent="0.25">
      <c r="A117" s="147" t="s">
        <v>140</v>
      </c>
      <c r="B117" s="184" t="s">
        <v>29</v>
      </c>
      <c r="C117" s="184" t="s">
        <v>26</v>
      </c>
      <c r="D117" s="92"/>
      <c r="E117" s="66" t="s">
        <v>210</v>
      </c>
      <c r="F117" s="66" t="s">
        <v>210</v>
      </c>
      <c r="G117" s="186">
        <v>42156</v>
      </c>
      <c r="H117" s="250"/>
      <c r="I117" s="250"/>
      <c r="T117" s="19" t="s">
        <v>244</v>
      </c>
      <c r="U117" s="19" t="s">
        <v>209</v>
      </c>
      <c r="V117" s="19"/>
    </row>
    <row r="118" spans="1:22" ht="15.75" thickBot="1" x14ac:dyDescent="0.3">
      <c r="A118" s="148" t="s">
        <v>140</v>
      </c>
      <c r="B118" s="187" t="s">
        <v>29</v>
      </c>
      <c r="C118" s="187" t="s">
        <v>27</v>
      </c>
      <c r="D118" s="94"/>
      <c r="E118" s="67" t="s">
        <v>210</v>
      </c>
      <c r="F118" s="67" t="s">
        <v>210</v>
      </c>
      <c r="G118" s="189">
        <v>42156</v>
      </c>
      <c r="H118" s="250"/>
      <c r="I118" s="250"/>
      <c r="T118" s="19" t="s">
        <v>244</v>
      </c>
      <c r="U118" s="19" t="s">
        <v>209</v>
      </c>
      <c r="V118" s="19"/>
    </row>
    <row r="119" spans="1:22" ht="15.75" thickTop="1" x14ac:dyDescent="0.25">
      <c r="A119" s="143" t="s">
        <v>140</v>
      </c>
      <c r="B119" s="172" t="s">
        <v>30</v>
      </c>
      <c r="C119" s="172" t="s">
        <v>25</v>
      </c>
      <c r="D119" s="95"/>
      <c r="E119" s="30" t="s">
        <v>210</v>
      </c>
      <c r="F119" s="30" t="s">
        <v>210</v>
      </c>
      <c r="G119" s="174">
        <v>42156</v>
      </c>
      <c r="H119" s="287" t="str">
        <f t="shared" si="9"/>
        <v>Level 0</v>
      </c>
      <c r="I119" s="287" t="str">
        <f t="shared" si="9"/>
        <v>Level 0</v>
      </c>
      <c r="T119" s="19" t="s">
        <v>244</v>
      </c>
      <c r="U119" s="19" t="s">
        <v>209</v>
      </c>
      <c r="V119" s="19"/>
    </row>
    <row r="120" spans="1:22" x14ac:dyDescent="0.25">
      <c r="A120" s="144" t="s">
        <v>140</v>
      </c>
      <c r="B120" s="175" t="s">
        <v>30</v>
      </c>
      <c r="C120" s="175" t="s">
        <v>26</v>
      </c>
      <c r="D120" s="96"/>
      <c r="E120" s="26" t="s">
        <v>210</v>
      </c>
      <c r="F120" s="26" t="s">
        <v>210</v>
      </c>
      <c r="G120" s="177">
        <v>42156</v>
      </c>
      <c r="H120" s="250"/>
      <c r="I120" s="250"/>
      <c r="T120" s="19" t="s">
        <v>244</v>
      </c>
      <c r="U120" s="19" t="s">
        <v>209</v>
      </c>
      <c r="V120" s="19"/>
    </row>
    <row r="121" spans="1:22" ht="15.75" thickBot="1" x14ac:dyDescent="0.3">
      <c r="A121" s="145" t="s">
        <v>140</v>
      </c>
      <c r="B121" s="178" t="s">
        <v>30</v>
      </c>
      <c r="C121" s="178" t="s">
        <v>27</v>
      </c>
      <c r="D121" s="111"/>
      <c r="E121" s="31" t="s">
        <v>210</v>
      </c>
      <c r="F121" s="31" t="s">
        <v>210</v>
      </c>
      <c r="G121" s="180">
        <v>42156</v>
      </c>
      <c r="H121" s="250"/>
      <c r="I121" s="250"/>
      <c r="T121" s="19" t="s">
        <v>244</v>
      </c>
      <c r="U121" s="19" t="s">
        <v>209</v>
      </c>
      <c r="V121" s="19"/>
    </row>
    <row r="122" spans="1:22" ht="15.75" thickTop="1" x14ac:dyDescent="0.25">
      <c r="A122" s="146" t="s">
        <v>140</v>
      </c>
      <c r="B122" s="181" t="s">
        <v>31</v>
      </c>
      <c r="C122" s="181" t="s">
        <v>25</v>
      </c>
      <c r="D122" s="112"/>
      <c r="E122" s="65" t="s">
        <v>210</v>
      </c>
      <c r="F122" s="65" t="s">
        <v>210</v>
      </c>
      <c r="G122" s="183">
        <v>42156</v>
      </c>
      <c r="H122" s="287" t="str">
        <f t="shared" si="9"/>
        <v>Level 0</v>
      </c>
      <c r="I122" s="287" t="str">
        <f t="shared" si="9"/>
        <v>Level 0</v>
      </c>
      <c r="T122" s="19" t="s">
        <v>244</v>
      </c>
      <c r="U122" s="19" t="s">
        <v>209</v>
      </c>
      <c r="V122" s="19"/>
    </row>
    <row r="123" spans="1:22" x14ac:dyDescent="0.25">
      <c r="A123" s="147" t="s">
        <v>140</v>
      </c>
      <c r="B123" s="184" t="s">
        <v>31</v>
      </c>
      <c r="C123" s="184" t="s">
        <v>26</v>
      </c>
      <c r="D123" s="92"/>
      <c r="E123" s="66" t="s">
        <v>210</v>
      </c>
      <c r="F123" s="66" t="s">
        <v>210</v>
      </c>
      <c r="G123" s="186">
        <v>42156</v>
      </c>
      <c r="H123" s="250"/>
      <c r="I123" s="250"/>
      <c r="T123" s="19" t="s">
        <v>244</v>
      </c>
      <c r="U123" s="19" t="s">
        <v>209</v>
      </c>
      <c r="V123" s="19"/>
    </row>
    <row r="124" spans="1:22" ht="15.75" thickBot="1" x14ac:dyDescent="0.3">
      <c r="A124" s="148" t="s">
        <v>140</v>
      </c>
      <c r="B124" s="187" t="s">
        <v>31</v>
      </c>
      <c r="C124" s="187" t="s">
        <v>27</v>
      </c>
      <c r="D124" s="94"/>
      <c r="E124" s="67" t="s">
        <v>210</v>
      </c>
      <c r="F124" s="67" t="s">
        <v>210</v>
      </c>
      <c r="G124" s="189">
        <v>42156</v>
      </c>
      <c r="H124" s="250"/>
      <c r="I124" s="250"/>
      <c r="T124" s="19" t="s">
        <v>244</v>
      </c>
      <c r="U124" s="19" t="s">
        <v>209</v>
      </c>
      <c r="V124" s="19"/>
    </row>
    <row r="125" spans="1:22" ht="15.75" thickTop="1" x14ac:dyDescent="0.25">
      <c r="A125" s="143" t="s">
        <v>140</v>
      </c>
      <c r="B125" s="172" t="s">
        <v>32</v>
      </c>
      <c r="C125" s="172" t="s">
        <v>25</v>
      </c>
      <c r="D125" s="95"/>
      <c r="E125" s="30" t="s">
        <v>210</v>
      </c>
      <c r="F125" s="30" t="s">
        <v>210</v>
      </c>
      <c r="G125" s="174">
        <v>42156</v>
      </c>
      <c r="H125" s="287" t="str">
        <f t="shared" si="9"/>
        <v>Level 0</v>
      </c>
      <c r="I125" s="287" t="str">
        <f t="shared" si="9"/>
        <v>Level 0</v>
      </c>
      <c r="T125" s="19" t="s">
        <v>244</v>
      </c>
      <c r="U125" s="19" t="s">
        <v>209</v>
      </c>
      <c r="V125" s="19"/>
    </row>
    <row r="126" spans="1:22" x14ac:dyDescent="0.25">
      <c r="A126" s="144" t="s">
        <v>140</v>
      </c>
      <c r="B126" s="175" t="s">
        <v>32</v>
      </c>
      <c r="C126" s="175" t="s">
        <v>26</v>
      </c>
      <c r="D126" s="96"/>
      <c r="E126" s="26" t="s">
        <v>210</v>
      </c>
      <c r="F126" s="26" t="s">
        <v>210</v>
      </c>
      <c r="G126" s="177">
        <v>42156</v>
      </c>
      <c r="H126" s="250"/>
      <c r="I126" s="250"/>
      <c r="T126" s="19" t="s">
        <v>244</v>
      </c>
      <c r="U126" s="19" t="s">
        <v>209</v>
      </c>
      <c r="V126" s="19"/>
    </row>
    <row r="127" spans="1:22" ht="15.75" thickBot="1" x14ac:dyDescent="0.3">
      <c r="A127" s="145" t="s">
        <v>140</v>
      </c>
      <c r="B127" s="178" t="s">
        <v>32</v>
      </c>
      <c r="C127" s="178" t="s">
        <v>27</v>
      </c>
      <c r="D127" s="102"/>
      <c r="E127" s="31" t="s">
        <v>210</v>
      </c>
      <c r="F127" s="31" t="s">
        <v>210</v>
      </c>
      <c r="G127" s="180">
        <v>42156</v>
      </c>
      <c r="H127" s="250"/>
      <c r="I127" s="250"/>
      <c r="T127" s="19" t="s">
        <v>244</v>
      </c>
      <c r="U127" s="19" t="s">
        <v>209</v>
      </c>
      <c r="V127" s="19"/>
    </row>
    <row r="128" spans="1:22" ht="15.75" thickTop="1" x14ac:dyDescent="0.25">
      <c r="A128" s="146" t="s">
        <v>140</v>
      </c>
      <c r="B128" s="181" t="s">
        <v>33</v>
      </c>
      <c r="C128" s="181" t="s">
        <v>25</v>
      </c>
      <c r="D128" s="90"/>
      <c r="E128" s="65" t="s">
        <v>210</v>
      </c>
      <c r="F128" s="65" t="s">
        <v>210</v>
      </c>
      <c r="G128" s="183">
        <v>42156</v>
      </c>
      <c r="H128" s="287" t="str">
        <f t="shared" si="9"/>
        <v>Level 0</v>
      </c>
      <c r="I128" s="287" t="str">
        <f t="shared" si="9"/>
        <v>Level 0</v>
      </c>
      <c r="T128" s="19" t="s">
        <v>244</v>
      </c>
      <c r="U128" s="19" t="s">
        <v>209</v>
      </c>
      <c r="V128" s="19"/>
    </row>
    <row r="129" spans="1:22" x14ac:dyDescent="0.25">
      <c r="A129" s="147" t="s">
        <v>140</v>
      </c>
      <c r="B129" s="184" t="s">
        <v>33</v>
      </c>
      <c r="C129" s="184" t="s">
        <v>26</v>
      </c>
      <c r="D129" s="93"/>
      <c r="E129" s="66" t="s">
        <v>210</v>
      </c>
      <c r="F129" s="66" t="s">
        <v>210</v>
      </c>
      <c r="G129" s="186">
        <v>42156</v>
      </c>
      <c r="H129" s="250"/>
      <c r="I129" s="250"/>
      <c r="T129" s="19" t="s">
        <v>244</v>
      </c>
      <c r="U129" s="19" t="s">
        <v>209</v>
      </c>
      <c r="V129" s="19"/>
    </row>
    <row r="130" spans="1:22" ht="15.75" thickBot="1" x14ac:dyDescent="0.3">
      <c r="A130" s="148" t="s">
        <v>140</v>
      </c>
      <c r="B130" s="187" t="s">
        <v>33</v>
      </c>
      <c r="C130" s="187" t="s">
        <v>27</v>
      </c>
      <c r="D130" s="103"/>
      <c r="E130" s="67" t="s">
        <v>210</v>
      </c>
      <c r="F130" s="67" t="s">
        <v>210</v>
      </c>
      <c r="G130" s="189">
        <v>42156</v>
      </c>
      <c r="H130" s="250"/>
      <c r="I130" s="250"/>
      <c r="T130" s="19" t="s">
        <v>244</v>
      </c>
      <c r="U130" s="19" t="s">
        <v>209</v>
      </c>
      <c r="V130" s="19"/>
    </row>
    <row r="131" spans="1:22" ht="15.75" thickTop="1" x14ac:dyDescent="0.25">
      <c r="A131" s="143" t="s">
        <v>141</v>
      </c>
      <c r="B131" s="172" t="s">
        <v>24</v>
      </c>
      <c r="C131" s="172" t="s">
        <v>25</v>
      </c>
      <c r="D131" s="95"/>
      <c r="E131" s="30">
        <v>1</v>
      </c>
      <c r="F131" s="30">
        <v>1</v>
      </c>
      <c r="G131" s="174">
        <v>42156</v>
      </c>
      <c r="H131" s="287" t="str">
        <f t="shared" si="9"/>
        <v>Level 1</v>
      </c>
      <c r="I131" s="287" t="str">
        <f t="shared" si="9"/>
        <v>Level 1</v>
      </c>
      <c r="T131" s="19" t="s">
        <v>244</v>
      </c>
      <c r="U131" s="19"/>
      <c r="V131" s="19"/>
    </row>
    <row r="132" spans="1:22" x14ac:dyDescent="0.25">
      <c r="A132" s="144" t="s">
        <v>141</v>
      </c>
      <c r="B132" s="175" t="s">
        <v>24</v>
      </c>
      <c r="C132" s="175" t="s">
        <v>26</v>
      </c>
      <c r="D132" s="98"/>
      <c r="E132" s="26">
        <v>2</v>
      </c>
      <c r="F132" s="26">
        <v>2</v>
      </c>
      <c r="G132" s="177">
        <v>42156</v>
      </c>
      <c r="H132" s="250"/>
      <c r="I132" s="250"/>
      <c r="T132" s="19" t="s">
        <v>244</v>
      </c>
      <c r="U132" s="19"/>
      <c r="V132" s="19"/>
    </row>
    <row r="133" spans="1:22" ht="15.75" thickBot="1" x14ac:dyDescent="0.3">
      <c r="A133" s="145" t="s">
        <v>141</v>
      </c>
      <c r="B133" s="178" t="s">
        <v>24</v>
      </c>
      <c r="C133" s="178" t="s">
        <v>27</v>
      </c>
      <c r="D133" s="99"/>
      <c r="E133" s="31">
        <v>2</v>
      </c>
      <c r="F133" s="31">
        <v>2</v>
      </c>
      <c r="G133" s="180">
        <v>42156</v>
      </c>
      <c r="H133" s="250"/>
      <c r="I133" s="250"/>
      <c r="T133" s="19" t="s">
        <v>244</v>
      </c>
      <c r="U133" s="19"/>
      <c r="V133" s="19"/>
    </row>
    <row r="134" spans="1:22" ht="15.75" thickTop="1" x14ac:dyDescent="0.25">
      <c r="A134" s="146" t="s">
        <v>141</v>
      </c>
      <c r="B134" s="181" t="s">
        <v>28</v>
      </c>
      <c r="C134" s="181" t="s">
        <v>25</v>
      </c>
      <c r="D134" s="100"/>
      <c r="E134" s="65">
        <v>4</v>
      </c>
      <c r="F134" s="65">
        <v>4</v>
      </c>
      <c r="G134" s="183">
        <v>42156</v>
      </c>
      <c r="H134" s="287" t="str">
        <f t="shared" si="9"/>
        <v>Level 4</v>
      </c>
      <c r="I134" s="287" t="str">
        <f t="shared" si="9"/>
        <v>Level 4</v>
      </c>
      <c r="T134" s="19" t="s">
        <v>244</v>
      </c>
      <c r="U134" s="19"/>
      <c r="V134" s="19"/>
    </row>
    <row r="135" spans="1:22" x14ac:dyDescent="0.25">
      <c r="A135" s="147" t="s">
        <v>141</v>
      </c>
      <c r="B135" s="184" t="s">
        <v>28</v>
      </c>
      <c r="C135" s="184" t="s">
        <v>26</v>
      </c>
      <c r="D135" s="91"/>
      <c r="E135" s="66">
        <v>4</v>
      </c>
      <c r="F135" s="66">
        <v>4</v>
      </c>
      <c r="G135" s="186">
        <v>42156</v>
      </c>
      <c r="H135" s="250"/>
      <c r="I135" s="250"/>
      <c r="T135" s="19" t="s">
        <v>244</v>
      </c>
      <c r="U135" s="19"/>
      <c r="V135" s="19"/>
    </row>
    <row r="136" spans="1:22" ht="15.75" thickBot="1" x14ac:dyDescent="0.3">
      <c r="A136" s="148" t="s">
        <v>141</v>
      </c>
      <c r="B136" s="187" t="s">
        <v>28</v>
      </c>
      <c r="C136" s="187" t="s">
        <v>27</v>
      </c>
      <c r="D136" s="103"/>
      <c r="E136" s="67">
        <v>4</v>
      </c>
      <c r="F136" s="67">
        <v>4</v>
      </c>
      <c r="G136" s="189">
        <v>42156</v>
      </c>
      <c r="H136" s="250"/>
      <c r="I136" s="250"/>
      <c r="T136" s="19" t="s">
        <v>244</v>
      </c>
      <c r="U136" s="19"/>
      <c r="V136" s="19"/>
    </row>
    <row r="137" spans="1:22" ht="15.75" thickTop="1" x14ac:dyDescent="0.25">
      <c r="A137" s="143" t="s">
        <v>141</v>
      </c>
      <c r="B137" s="172" t="s">
        <v>29</v>
      </c>
      <c r="C137" s="172" t="s">
        <v>25</v>
      </c>
      <c r="D137" s="104"/>
      <c r="E137" s="30">
        <v>1</v>
      </c>
      <c r="F137" s="30">
        <v>1</v>
      </c>
      <c r="G137" s="174">
        <v>42156</v>
      </c>
      <c r="H137" s="287" t="str">
        <f t="shared" si="9"/>
        <v>Level 1</v>
      </c>
      <c r="I137" s="287" t="str">
        <f t="shared" si="9"/>
        <v>Level 1</v>
      </c>
      <c r="T137" s="19" t="s">
        <v>244</v>
      </c>
      <c r="U137" s="19"/>
      <c r="V137" s="19"/>
    </row>
    <row r="138" spans="1:22" x14ac:dyDescent="0.25">
      <c r="A138" s="144" t="s">
        <v>141</v>
      </c>
      <c r="B138" s="175" t="s">
        <v>29</v>
      </c>
      <c r="C138" s="175" t="s">
        <v>26</v>
      </c>
      <c r="D138" s="97"/>
      <c r="E138" s="26">
        <v>2</v>
      </c>
      <c r="F138" s="26">
        <v>2</v>
      </c>
      <c r="G138" s="177">
        <v>42156</v>
      </c>
      <c r="H138" s="250"/>
      <c r="I138" s="250"/>
      <c r="T138" s="19" t="s">
        <v>244</v>
      </c>
      <c r="U138" s="19"/>
      <c r="V138" s="19"/>
    </row>
    <row r="139" spans="1:22" ht="15.75" thickBot="1" x14ac:dyDescent="0.3">
      <c r="A139" s="145" t="s">
        <v>141</v>
      </c>
      <c r="B139" s="178" t="s">
        <v>29</v>
      </c>
      <c r="C139" s="178" t="s">
        <v>27</v>
      </c>
      <c r="D139" s="102"/>
      <c r="E139" s="31">
        <v>2</v>
      </c>
      <c r="F139" s="31">
        <v>2</v>
      </c>
      <c r="G139" s="180">
        <v>42156</v>
      </c>
      <c r="H139" s="250"/>
      <c r="I139" s="250"/>
      <c r="T139" s="19" t="s">
        <v>244</v>
      </c>
      <c r="U139" s="19"/>
      <c r="V139" s="19"/>
    </row>
    <row r="140" spans="1:22" ht="15.75" thickTop="1" x14ac:dyDescent="0.25">
      <c r="A140" s="146" t="s">
        <v>141</v>
      </c>
      <c r="B140" s="181" t="s">
        <v>30</v>
      </c>
      <c r="C140" s="181" t="s">
        <v>25</v>
      </c>
      <c r="D140" s="90"/>
      <c r="E140" s="65">
        <v>1</v>
      </c>
      <c r="F140" s="65">
        <v>2</v>
      </c>
      <c r="G140" s="183">
        <v>42156</v>
      </c>
      <c r="H140" s="287" t="str">
        <f t="shared" ref="H140:I203" si="10">CONCATENATE("Level"," ",MIN(E140:E142))</f>
        <v>Level 1</v>
      </c>
      <c r="I140" s="287" t="str">
        <f t="shared" si="10"/>
        <v>Level 2</v>
      </c>
      <c r="T140" s="19" t="s">
        <v>244</v>
      </c>
      <c r="U140" s="19"/>
      <c r="V140" s="19"/>
    </row>
    <row r="141" spans="1:22" x14ac:dyDescent="0.25">
      <c r="A141" s="147" t="s">
        <v>141</v>
      </c>
      <c r="B141" s="184" t="s">
        <v>30</v>
      </c>
      <c r="C141" s="184" t="s">
        <v>26</v>
      </c>
      <c r="D141" s="93"/>
      <c r="E141" s="66">
        <v>1</v>
      </c>
      <c r="F141" s="66">
        <v>2</v>
      </c>
      <c r="G141" s="186">
        <v>42156</v>
      </c>
      <c r="H141" s="250"/>
      <c r="I141" s="250"/>
      <c r="T141" s="19" t="s">
        <v>244</v>
      </c>
      <c r="U141" s="19"/>
      <c r="V141" s="19"/>
    </row>
    <row r="142" spans="1:22" ht="15.75" thickBot="1" x14ac:dyDescent="0.3">
      <c r="A142" s="148" t="s">
        <v>141</v>
      </c>
      <c r="B142" s="187" t="s">
        <v>30</v>
      </c>
      <c r="C142" s="187" t="s">
        <v>27</v>
      </c>
      <c r="D142" s="103"/>
      <c r="E142" s="67">
        <v>2</v>
      </c>
      <c r="F142" s="67">
        <v>3</v>
      </c>
      <c r="G142" s="189">
        <v>42156</v>
      </c>
      <c r="H142" s="250"/>
      <c r="I142" s="250"/>
      <c r="T142" s="19" t="s">
        <v>244</v>
      </c>
      <c r="U142" s="19"/>
      <c r="V142" s="19"/>
    </row>
    <row r="143" spans="1:22" ht="15.75" thickTop="1" x14ac:dyDescent="0.25">
      <c r="A143" s="143" t="s">
        <v>141</v>
      </c>
      <c r="B143" s="172" t="s">
        <v>31</v>
      </c>
      <c r="C143" s="172" t="s">
        <v>25</v>
      </c>
      <c r="D143" s="104"/>
      <c r="E143" s="30">
        <v>2</v>
      </c>
      <c r="F143" s="30">
        <v>2</v>
      </c>
      <c r="G143" s="174">
        <v>42156</v>
      </c>
      <c r="H143" s="287" t="str">
        <f t="shared" si="10"/>
        <v>Level 1</v>
      </c>
      <c r="I143" s="287" t="str">
        <f t="shared" si="10"/>
        <v>Level 2</v>
      </c>
      <c r="T143" s="19" t="s">
        <v>244</v>
      </c>
      <c r="U143" s="19"/>
      <c r="V143" s="19"/>
    </row>
    <row r="144" spans="1:22" x14ac:dyDescent="0.25">
      <c r="A144" s="144" t="s">
        <v>141</v>
      </c>
      <c r="B144" s="175" t="s">
        <v>31</v>
      </c>
      <c r="C144" s="175" t="s">
        <v>26</v>
      </c>
      <c r="D144" s="97"/>
      <c r="E144" s="26">
        <v>1</v>
      </c>
      <c r="F144" s="26">
        <v>2</v>
      </c>
      <c r="G144" s="177">
        <v>42156</v>
      </c>
      <c r="H144" s="250"/>
      <c r="I144" s="250"/>
      <c r="T144" s="19" t="s">
        <v>244</v>
      </c>
      <c r="U144" s="19"/>
      <c r="V144" s="19"/>
    </row>
    <row r="145" spans="1:22" ht="15.75" thickBot="1" x14ac:dyDescent="0.3">
      <c r="A145" s="145" t="s">
        <v>141</v>
      </c>
      <c r="B145" s="178" t="s">
        <v>31</v>
      </c>
      <c r="C145" s="178" t="s">
        <v>27</v>
      </c>
      <c r="D145" s="102"/>
      <c r="E145" s="31">
        <v>2</v>
      </c>
      <c r="F145" s="31">
        <v>3</v>
      </c>
      <c r="G145" s="180">
        <v>42156</v>
      </c>
      <c r="H145" s="250"/>
      <c r="I145" s="250"/>
      <c r="T145" s="19" t="s">
        <v>244</v>
      </c>
      <c r="U145" s="19"/>
      <c r="V145" s="19"/>
    </row>
    <row r="146" spans="1:22" ht="15.75" thickTop="1" x14ac:dyDescent="0.25">
      <c r="A146" s="146" t="s">
        <v>141</v>
      </c>
      <c r="B146" s="181" t="s">
        <v>32</v>
      </c>
      <c r="C146" s="181" t="s">
        <v>25</v>
      </c>
      <c r="D146" s="90"/>
      <c r="E146" s="65">
        <v>2</v>
      </c>
      <c r="F146" s="65">
        <v>3</v>
      </c>
      <c r="G146" s="183">
        <v>42156</v>
      </c>
      <c r="H146" s="287" t="str">
        <f t="shared" si="10"/>
        <v>Level 2</v>
      </c>
      <c r="I146" s="287" t="str">
        <f t="shared" si="10"/>
        <v>Level 2</v>
      </c>
      <c r="T146" s="19" t="s">
        <v>244</v>
      </c>
      <c r="U146" s="19"/>
      <c r="V146" s="19"/>
    </row>
    <row r="147" spans="1:22" x14ac:dyDescent="0.25">
      <c r="A147" s="147" t="s">
        <v>141</v>
      </c>
      <c r="B147" s="184" t="s">
        <v>32</v>
      </c>
      <c r="C147" s="184" t="s">
        <v>26</v>
      </c>
      <c r="D147" s="93"/>
      <c r="E147" s="66">
        <v>2</v>
      </c>
      <c r="F147" s="66">
        <v>3</v>
      </c>
      <c r="G147" s="186">
        <v>42156</v>
      </c>
      <c r="H147" s="250"/>
      <c r="I147" s="250"/>
      <c r="T147" s="19" t="s">
        <v>244</v>
      </c>
      <c r="U147" s="19"/>
      <c r="V147" s="19"/>
    </row>
    <row r="148" spans="1:22" ht="15.75" thickBot="1" x14ac:dyDescent="0.3">
      <c r="A148" s="148" t="s">
        <v>141</v>
      </c>
      <c r="B148" s="187" t="s">
        <v>32</v>
      </c>
      <c r="C148" s="187" t="s">
        <v>27</v>
      </c>
      <c r="D148" s="94"/>
      <c r="E148" s="67">
        <v>2</v>
      </c>
      <c r="F148" s="67">
        <v>2</v>
      </c>
      <c r="G148" s="189">
        <v>42156</v>
      </c>
      <c r="H148" s="250"/>
      <c r="I148" s="250"/>
      <c r="T148" s="19" t="s">
        <v>244</v>
      </c>
      <c r="U148" s="19"/>
      <c r="V148" s="19"/>
    </row>
    <row r="149" spans="1:22" ht="15.75" thickTop="1" x14ac:dyDescent="0.25">
      <c r="A149" s="143" t="s">
        <v>141</v>
      </c>
      <c r="B149" s="172" t="s">
        <v>33</v>
      </c>
      <c r="C149" s="172" t="s">
        <v>25</v>
      </c>
      <c r="D149" s="95"/>
      <c r="E149" s="30">
        <v>2</v>
      </c>
      <c r="F149" s="30">
        <v>2</v>
      </c>
      <c r="G149" s="174">
        <v>42156</v>
      </c>
      <c r="H149" s="287" t="str">
        <f t="shared" si="10"/>
        <v>Level 2</v>
      </c>
      <c r="I149" s="287" t="str">
        <f t="shared" si="10"/>
        <v>Level 2</v>
      </c>
      <c r="T149" s="19" t="s">
        <v>244</v>
      </c>
      <c r="U149" s="19"/>
      <c r="V149" s="19"/>
    </row>
    <row r="150" spans="1:22" x14ac:dyDescent="0.25">
      <c r="A150" s="144" t="s">
        <v>141</v>
      </c>
      <c r="B150" s="175" t="s">
        <v>33</v>
      </c>
      <c r="C150" s="175" t="s">
        <v>26</v>
      </c>
      <c r="D150" s="96"/>
      <c r="E150" s="26">
        <v>2</v>
      </c>
      <c r="F150" s="26">
        <v>2</v>
      </c>
      <c r="G150" s="177">
        <v>42156</v>
      </c>
      <c r="H150" s="250"/>
      <c r="I150" s="250"/>
      <c r="T150" s="19" t="s">
        <v>244</v>
      </c>
      <c r="U150" s="19"/>
      <c r="V150" s="19"/>
    </row>
    <row r="151" spans="1:22" ht="15.75" thickBot="1" x14ac:dyDescent="0.3">
      <c r="A151" s="145" t="s">
        <v>141</v>
      </c>
      <c r="B151" s="178" t="s">
        <v>33</v>
      </c>
      <c r="C151" s="178" t="s">
        <v>27</v>
      </c>
      <c r="D151" s="99"/>
      <c r="E151" s="31">
        <v>2</v>
      </c>
      <c r="F151" s="31">
        <v>2</v>
      </c>
      <c r="G151" s="180">
        <v>42156</v>
      </c>
      <c r="H151" s="250"/>
      <c r="I151" s="250"/>
      <c r="T151" s="19" t="s">
        <v>244</v>
      </c>
      <c r="U151" s="19"/>
      <c r="V151" s="19"/>
    </row>
    <row r="152" spans="1:22" ht="15.75" thickTop="1" x14ac:dyDescent="0.25">
      <c r="A152" s="146" t="s">
        <v>142</v>
      </c>
      <c r="B152" s="181" t="s">
        <v>24</v>
      </c>
      <c r="C152" s="181" t="s">
        <v>25</v>
      </c>
      <c r="D152" s="112"/>
      <c r="E152" s="65">
        <v>1</v>
      </c>
      <c r="F152" s="65">
        <v>1</v>
      </c>
      <c r="G152" s="183">
        <v>42156</v>
      </c>
      <c r="H152" s="287" t="str">
        <f t="shared" si="10"/>
        <v>Level 1</v>
      </c>
      <c r="I152" s="287" t="str">
        <f t="shared" si="10"/>
        <v>Level 1</v>
      </c>
      <c r="T152" s="19" t="s">
        <v>244</v>
      </c>
      <c r="U152" s="19" t="s">
        <v>209</v>
      </c>
      <c r="V152" s="19"/>
    </row>
    <row r="153" spans="1:22" x14ac:dyDescent="0.25">
      <c r="A153" s="147" t="s">
        <v>142</v>
      </c>
      <c r="B153" s="184" t="s">
        <v>24</v>
      </c>
      <c r="C153" s="184" t="s">
        <v>26</v>
      </c>
      <c r="D153" s="113"/>
      <c r="E153" s="66">
        <v>2</v>
      </c>
      <c r="F153" s="66">
        <v>2</v>
      </c>
      <c r="G153" s="186">
        <v>42156</v>
      </c>
      <c r="H153" s="250"/>
      <c r="I153" s="250"/>
      <c r="T153" s="19" t="s">
        <v>244</v>
      </c>
      <c r="U153" s="19" t="s">
        <v>209</v>
      </c>
      <c r="V153" s="19"/>
    </row>
    <row r="154" spans="1:22" ht="15.75" thickBot="1" x14ac:dyDescent="0.3">
      <c r="A154" s="148" t="s">
        <v>142</v>
      </c>
      <c r="B154" s="187" t="s">
        <v>24</v>
      </c>
      <c r="C154" s="187" t="s">
        <v>27</v>
      </c>
      <c r="D154" s="114"/>
      <c r="E154" s="67">
        <v>2</v>
      </c>
      <c r="F154" s="67">
        <v>2</v>
      </c>
      <c r="G154" s="189">
        <v>42156</v>
      </c>
      <c r="H154" s="250"/>
      <c r="I154" s="250"/>
      <c r="T154" s="19" t="s">
        <v>244</v>
      </c>
      <c r="U154" s="19" t="s">
        <v>209</v>
      </c>
      <c r="V154" s="19"/>
    </row>
    <row r="155" spans="1:22" ht="15.75" thickTop="1" x14ac:dyDescent="0.25">
      <c r="A155" s="143" t="s">
        <v>142</v>
      </c>
      <c r="B155" s="172" t="s">
        <v>28</v>
      </c>
      <c r="C155" s="172" t="s">
        <v>25</v>
      </c>
      <c r="D155" s="115"/>
      <c r="E155" s="30">
        <v>4</v>
      </c>
      <c r="F155" s="30">
        <v>4</v>
      </c>
      <c r="G155" s="174">
        <v>42156</v>
      </c>
      <c r="H155" s="287" t="str">
        <f t="shared" si="10"/>
        <v>Level 4</v>
      </c>
      <c r="I155" s="287" t="str">
        <f t="shared" si="10"/>
        <v>Level 4</v>
      </c>
      <c r="T155" s="19" t="s">
        <v>244</v>
      </c>
      <c r="U155" s="19" t="s">
        <v>209</v>
      </c>
      <c r="V155" s="19"/>
    </row>
    <row r="156" spans="1:22" x14ac:dyDescent="0.25">
      <c r="A156" s="144" t="s">
        <v>142</v>
      </c>
      <c r="B156" s="175" t="s">
        <v>28</v>
      </c>
      <c r="C156" s="175" t="s">
        <v>26</v>
      </c>
      <c r="D156" s="116"/>
      <c r="E156" s="26">
        <v>4</v>
      </c>
      <c r="F156" s="26">
        <v>4</v>
      </c>
      <c r="G156" s="177">
        <v>42156</v>
      </c>
      <c r="H156" s="250"/>
      <c r="I156" s="250"/>
      <c r="T156" s="19" t="s">
        <v>244</v>
      </c>
      <c r="U156" s="19" t="s">
        <v>209</v>
      </c>
      <c r="V156" s="19"/>
    </row>
    <row r="157" spans="1:22" ht="15.75" thickBot="1" x14ac:dyDescent="0.3">
      <c r="A157" s="145" t="s">
        <v>142</v>
      </c>
      <c r="B157" s="178" t="s">
        <v>28</v>
      </c>
      <c r="C157" s="178" t="s">
        <v>27</v>
      </c>
      <c r="D157" s="111"/>
      <c r="E157" s="31">
        <v>4</v>
      </c>
      <c r="F157" s="31">
        <v>4</v>
      </c>
      <c r="G157" s="180">
        <v>42156</v>
      </c>
      <c r="H157" s="250"/>
      <c r="I157" s="250"/>
      <c r="T157" s="19" t="s">
        <v>244</v>
      </c>
      <c r="U157" s="19" t="s">
        <v>209</v>
      </c>
      <c r="V157" s="19"/>
    </row>
    <row r="158" spans="1:22" ht="15.75" thickTop="1" x14ac:dyDescent="0.25">
      <c r="A158" s="146" t="s">
        <v>142</v>
      </c>
      <c r="B158" s="181" t="s">
        <v>29</v>
      </c>
      <c r="C158" s="181" t="s">
        <v>25</v>
      </c>
      <c r="D158" s="112"/>
      <c r="E158" s="65">
        <v>1</v>
      </c>
      <c r="F158" s="65">
        <v>1</v>
      </c>
      <c r="G158" s="183">
        <v>42156</v>
      </c>
      <c r="H158" s="287" t="str">
        <f t="shared" si="10"/>
        <v>Level 1</v>
      </c>
      <c r="I158" s="287" t="str">
        <f t="shared" si="10"/>
        <v>Level 1</v>
      </c>
      <c r="T158" s="19" t="s">
        <v>244</v>
      </c>
      <c r="U158" s="19" t="s">
        <v>209</v>
      </c>
      <c r="V158" s="19"/>
    </row>
    <row r="159" spans="1:22" x14ac:dyDescent="0.25">
      <c r="A159" s="147" t="s">
        <v>142</v>
      </c>
      <c r="B159" s="184" t="s">
        <v>29</v>
      </c>
      <c r="C159" s="184" t="s">
        <v>26</v>
      </c>
      <c r="D159" s="113"/>
      <c r="E159" s="66">
        <v>2</v>
      </c>
      <c r="F159" s="66">
        <v>2</v>
      </c>
      <c r="G159" s="186">
        <v>42156</v>
      </c>
      <c r="H159" s="250"/>
      <c r="I159" s="250"/>
      <c r="T159" s="19" t="s">
        <v>244</v>
      </c>
      <c r="U159" s="19" t="s">
        <v>209</v>
      </c>
      <c r="V159" s="19"/>
    </row>
    <row r="160" spans="1:22" ht="15.75" thickBot="1" x14ac:dyDescent="0.3">
      <c r="A160" s="148" t="s">
        <v>142</v>
      </c>
      <c r="B160" s="187" t="s">
        <v>29</v>
      </c>
      <c r="C160" s="187" t="s">
        <v>27</v>
      </c>
      <c r="D160" s="114"/>
      <c r="E160" s="67">
        <v>2</v>
      </c>
      <c r="F160" s="67">
        <v>2</v>
      </c>
      <c r="G160" s="189">
        <v>42156</v>
      </c>
      <c r="H160" s="250"/>
      <c r="I160" s="250"/>
      <c r="T160" s="19" t="s">
        <v>244</v>
      </c>
      <c r="U160" s="19" t="s">
        <v>209</v>
      </c>
      <c r="V160" s="19"/>
    </row>
    <row r="161" spans="1:22" ht="15.75" thickTop="1" x14ac:dyDescent="0.25">
      <c r="A161" s="143" t="s">
        <v>142</v>
      </c>
      <c r="B161" s="172" t="s">
        <v>30</v>
      </c>
      <c r="C161" s="172" t="s">
        <v>25</v>
      </c>
      <c r="D161" s="115"/>
      <c r="E161" s="30">
        <v>1</v>
      </c>
      <c r="F161" s="30">
        <v>2</v>
      </c>
      <c r="G161" s="174">
        <v>42156</v>
      </c>
      <c r="H161" s="287" t="str">
        <f t="shared" si="10"/>
        <v>Level 1</v>
      </c>
      <c r="I161" s="287" t="str">
        <f t="shared" si="10"/>
        <v>Level 2</v>
      </c>
      <c r="T161" s="19" t="s">
        <v>244</v>
      </c>
      <c r="U161" s="19" t="s">
        <v>209</v>
      </c>
      <c r="V161" s="19"/>
    </row>
    <row r="162" spans="1:22" x14ac:dyDescent="0.25">
      <c r="A162" s="144" t="s">
        <v>142</v>
      </c>
      <c r="B162" s="175" t="s">
        <v>30</v>
      </c>
      <c r="C162" s="175" t="s">
        <v>26</v>
      </c>
      <c r="D162" s="116"/>
      <c r="E162" s="26">
        <v>1</v>
      </c>
      <c r="F162" s="26">
        <v>2</v>
      </c>
      <c r="G162" s="177">
        <v>42156</v>
      </c>
      <c r="H162" s="250"/>
      <c r="I162" s="250"/>
      <c r="T162" s="19" t="s">
        <v>244</v>
      </c>
      <c r="U162" s="19" t="s">
        <v>209</v>
      </c>
      <c r="V162" s="19"/>
    </row>
    <row r="163" spans="1:22" ht="15.75" thickBot="1" x14ac:dyDescent="0.3">
      <c r="A163" s="145" t="s">
        <v>142</v>
      </c>
      <c r="B163" s="178" t="s">
        <v>30</v>
      </c>
      <c r="C163" s="178" t="s">
        <v>27</v>
      </c>
      <c r="D163" s="111"/>
      <c r="E163" s="31">
        <v>3</v>
      </c>
      <c r="F163" s="31">
        <v>3</v>
      </c>
      <c r="G163" s="180">
        <v>42156</v>
      </c>
      <c r="H163" s="250"/>
      <c r="I163" s="250"/>
      <c r="T163" s="19" t="s">
        <v>244</v>
      </c>
      <c r="U163" s="19" t="s">
        <v>209</v>
      </c>
      <c r="V163" s="19"/>
    </row>
    <row r="164" spans="1:22" ht="15.75" thickTop="1" x14ac:dyDescent="0.25">
      <c r="A164" s="146" t="s">
        <v>142</v>
      </c>
      <c r="B164" s="181" t="s">
        <v>31</v>
      </c>
      <c r="C164" s="181" t="s">
        <v>25</v>
      </c>
      <c r="D164" s="112"/>
      <c r="E164" s="65">
        <v>2</v>
      </c>
      <c r="F164" s="65">
        <v>2</v>
      </c>
      <c r="G164" s="183">
        <v>42156</v>
      </c>
      <c r="H164" s="287" t="str">
        <f t="shared" si="10"/>
        <v>Level 1</v>
      </c>
      <c r="I164" s="287" t="str">
        <f t="shared" si="10"/>
        <v>Level 2</v>
      </c>
      <c r="T164" s="19" t="s">
        <v>244</v>
      </c>
      <c r="U164" s="19" t="s">
        <v>209</v>
      </c>
      <c r="V164" s="19"/>
    </row>
    <row r="165" spans="1:22" x14ac:dyDescent="0.25">
      <c r="A165" s="147" t="s">
        <v>142</v>
      </c>
      <c r="B165" s="184" t="s">
        <v>31</v>
      </c>
      <c r="C165" s="184" t="s">
        <v>26</v>
      </c>
      <c r="D165" s="113"/>
      <c r="E165" s="66">
        <v>1</v>
      </c>
      <c r="F165" s="66">
        <v>2</v>
      </c>
      <c r="G165" s="186">
        <v>42156</v>
      </c>
      <c r="H165" s="250"/>
      <c r="I165" s="250"/>
      <c r="T165" s="19" t="s">
        <v>244</v>
      </c>
      <c r="U165" s="19" t="s">
        <v>209</v>
      </c>
      <c r="V165" s="19"/>
    </row>
    <row r="166" spans="1:22" ht="15.75" thickBot="1" x14ac:dyDescent="0.3">
      <c r="A166" s="148" t="s">
        <v>142</v>
      </c>
      <c r="B166" s="187" t="s">
        <v>31</v>
      </c>
      <c r="C166" s="187" t="s">
        <v>27</v>
      </c>
      <c r="D166" s="114"/>
      <c r="E166" s="67">
        <v>2</v>
      </c>
      <c r="F166" s="67">
        <v>3</v>
      </c>
      <c r="G166" s="189">
        <v>42156</v>
      </c>
      <c r="H166" s="250"/>
      <c r="I166" s="250"/>
      <c r="T166" s="19" t="s">
        <v>244</v>
      </c>
      <c r="U166" s="19" t="s">
        <v>209</v>
      </c>
      <c r="V166" s="19"/>
    </row>
    <row r="167" spans="1:22" ht="15.75" thickTop="1" x14ac:dyDescent="0.25">
      <c r="A167" s="143" t="s">
        <v>142</v>
      </c>
      <c r="B167" s="172" t="s">
        <v>32</v>
      </c>
      <c r="C167" s="172" t="s">
        <v>25</v>
      </c>
      <c r="D167" s="115"/>
      <c r="E167" s="30">
        <v>2</v>
      </c>
      <c r="F167" s="30">
        <v>3</v>
      </c>
      <c r="G167" s="174">
        <v>42156</v>
      </c>
      <c r="H167" s="287" t="str">
        <f t="shared" si="10"/>
        <v>Level 2</v>
      </c>
      <c r="I167" s="287" t="str">
        <f t="shared" si="10"/>
        <v>Level 2</v>
      </c>
      <c r="T167" s="19" t="s">
        <v>244</v>
      </c>
      <c r="U167" s="19" t="s">
        <v>209</v>
      </c>
      <c r="V167" s="19"/>
    </row>
    <row r="168" spans="1:22" x14ac:dyDescent="0.25">
      <c r="A168" s="144" t="s">
        <v>142</v>
      </c>
      <c r="B168" s="175" t="s">
        <v>32</v>
      </c>
      <c r="C168" s="175" t="s">
        <v>26</v>
      </c>
      <c r="D168" s="116"/>
      <c r="E168" s="26">
        <v>2</v>
      </c>
      <c r="F168" s="26">
        <v>3</v>
      </c>
      <c r="G168" s="177">
        <v>42156</v>
      </c>
      <c r="H168" s="250"/>
      <c r="I168" s="250"/>
      <c r="T168" s="19" t="s">
        <v>244</v>
      </c>
      <c r="U168" s="19" t="s">
        <v>209</v>
      </c>
      <c r="V168" s="19"/>
    </row>
    <row r="169" spans="1:22" ht="15.75" thickBot="1" x14ac:dyDescent="0.3">
      <c r="A169" s="145" t="s">
        <v>142</v>
      </c>
      <c r="B169" s="178" t="s">
        <v>32</v>
      </c>
      <c r="C169" s="178" t="s">
        <v>27</v>
      </c>
      <c r="D169" s="111"/>
      <c r="E169" s="31">
        <v>2</v>
      </c>
      <c r="F169" s="31">
        <v>2</v>
      </c>
      <c r="G169" s="180">
        <v>42156</v>
      </c>
      <c r="H169" s="250"/>
      <c r="I169" s="250"/>
      <c r="T169" s="19" t="s">
        <v>244</v>
      </c>
      <c r="U169" s="19" t="s">
        <v>209</v>
      </c>
      <c r="V169" s="19"/>
    </row>
    <row r="170" spans="1:22" ht="15.75" thickTop="1" x14ac:dyDescent="0.25">
      <c r="A170" s="146" t="s">
        <v>142</v>
      </c>
      <c r="B170" s="181" t="s">
        <v>33</v>
      </c>
      <c r="C170" s="181" t="s">
        <v>25</v>
      </c>
      <c r="D170" s="112"/>
      <c r="E170" s="65">
        <v>2</v>
      </c>
      <c r="F170" s="65">
        <v>3</v>
      </c>
      <c r="G170" s="183">
        <v>42156</v>
      </c>
      <c r="H170" s="287" t="str">
        <f t="shared" si="10"/>
        <v>Level 2</v>
      </c>
      <c r="I170" s="287" t="str">
        <f t="shared" si="10"/>
        <v>Level 2</v>
      </c>
      <c r="T170" s="19" t="s">
        <v>244</v>
      </c>
      <c r="U170" s="19" t="s">
        <v>209</v>
      </c>
      <c r="V170" s="19"/>
    </row>
    <row r="171" spans="1:22" x14ac:dyDescent="0.25">
      <c r="A171" s="147" t="s">
        <v>142</v>
      </c>
      <c r="B171" s="184" t="s">
        <v>33</v>
      </c>
      <c r="C171" s="184" t="s">
        <v>26</v>
      </c>
      <c r="D171" s="113"/>
      <c r="E171" s="66">
        <v>2</v>
      </c>
      <c r="F171" s="66">
        <v>2</v>
      </c>
      <c r="G171" s="186">
        <v>42156</v>
      </c>
      <c r="H171" s="250"/>
      <c r="I171" s="250"/>
      <c r="T171" s="19" t="s">
        <v>244</v>
      </c>
      <c r="U171" s="19" t="s">
        <v>209</v>
      </c>
      <c r="V171" s="19"/>
    </row>
    <row r="172" spans="1:22" ht="15.75" thickBot="1" x14ac:dyDescent="0.3">
      <c r="A172" s="148" t="s">
        <v>142</v>
      </c>
      <c r="B172" s="187" t="s">
        <v>33</v>
      </c>
      <c r="C172" s="187" t="s">
        <v>27</v>
      </c>
      <c r="D172" s="114"/>
      <c r="E172" s="67">
        <v>2</v>
      </c>
      <c r="F172" s="67">
        <v>3</v>
      </c>
      <c r="G172" s="189">
        <v>42156</v>
      </c>
      <c r="H172" s="250"/>
      <c r="I172" s="250"/>
      <c r="T172" s="19" t="s">
        <v>244</v>
      </c>
      <c r="U172" s="19" t="s">
        <v>209</v>
      </c>
      <c r="V172" s="19"/>
    </row>
    <row r="173" spans="1:22" ht="15.75" thickTop="1" x14ac:dyDescent="0.25">
      <c r="A173" s="143" t="s">
        <v>143</v>
      </c>
      <c r="B173" s="172" t="s">
        <v>24</v>
      </c>
      <c r="C173" s="172" t="s">
        <v>25</v>
      </c>
      <c r="D173" s="115"/>
      <c r="E173" s="30">
        <v>2</v>
      </c>
      <c r="F173" s="30">
        <v>2</v>
      </c>
      <c r="G173" s="174">
        <v>42156</v>
      </c>
      <c r="H173" s="287" t="str">
        <f t="shared" si="10"/>
        <v>Level 2</v>
      </c>
      <c r="I173" s="287" t="str">
        <f t="shared" si="10"/>
        <v>Level 2</v>
      </c>
      <c r="T173" s="19" t="s">
        <v>244</v>
      </c>
      <c r="U173" s="19" t="s">
        <v>209</v>
      </c>
      <c r="V173" s="19"/>
    </row>
    <row r="174" spans="1:22" x14ac:dyDescent="0.25">
      <c r="A174" s="144" t="s">
        <v>143</v>
      </c>
      <c r="B174" s="175" t="s">
        <v>24</v>
      </c>
      <c r="C174" s="175" t="s">
        <v>26</v>
      </c>
      <c r="D174" s="116"/>
      <c r="E174" s="26">
        <v>2</v>
      </c>
      <c r="F174" s="26">
        <v>3</v>
      </c>
      <c r="G174" s="177">
        <v>42156</v>
      </c>
      <c r="H174" s="250"/>
      <c r="I174" s="250"/>
      <c r="T174" s="19" t="s">
        <v>244</v>
      </c>
      <c r="U174" s="19" t="s">
        <v>209</v>
      </c>
      <c r="V174" s="19"/>
    </row>
    <row r="175" spans="1:22" ht="15.75" thickBot="1" x14ac:dyDescent="0.3">
      <c r="A175" s="145" t="s">
        <v>143</v>
      </c>
      <c r="B175" s="178" t="s">
        <v>24</v>
      </c>
      <c r="C175" s="178" t="s">
        <v>27</v>
      </c>
      <c r="D175" s="111"/>
      <c r="E175" s="31">
        <v>2</v>
      </c>
      <c r="F175" s="31">
        <v>2</v>
      </c>
      <c r="G175" s="180">
        <v>42156</v>
      </c>
      <c r="H175" s="250"/>
      <c r="I175" s="250"/>
      <c r="T175" s="19" t="s">
        <v>244</v>
      </c>
      <c r="U175" s="19" t="s">
        <v>209</v>
      </c>
      <c r="V175" s="19"/>
    </row>
    <row r="176" spans="1:22" ht="15.75" thickTop="1" x14ac:dyDescent="0.25">
      <c r="A176" s="146" t="s">
        <v>143</v>
      </c>
      <c r="B176" s="181" t="s">
        <v>28</v>
      </c>
      <c r="C176" s="181" t="s">
        <v>25</v>
      </c>
      <c r="D176" s="112"/>
      <c r="E176" s="65">
        <v>4</v>
      </c>
      <c r="F176" s="65">
        <v>4</v>
      </c>
      <c r="G176" s="183">
        <v>42156</v>
      </c>
      <c r="H176" s="287" t="str">
        <f t="shared" si="10"/>
        <v>Level 4</v>
      </c>
      <c r="I176" s="287" t="str">
        <f t="shared" si="10"/>
        <v>Level 4</v>
      </c>
      <c r="T176" s="19" t="s">
        <v>244</v>
      </c>
      <c r="U176" s="19" t="s">
        <v>209</v>
      </c>
      <c r="V176" s="19"/>
    </row>
    <row r="177" spans="1:22" x14ac:dyDescent="0.25">
      <c r="A177" s="147" t="s">
        <v>143</v>
      </c>
      <c r="B177" s="184" t="s">
        <v>28</v>
      </c>
      <c r="C177" s="184" t="s">
        <v>26</v>
      </c>
      <c r="D177" s="113"/>
      <c r="E177" s="66">
        <v>4</v>
      </c>
      <c r="F177" s="66">
        <v>4</v>
      </c>
      <c r="G177" s="186">
        <v>42156</v>
      </c>
      <c r="H177" s="250"/>
      <c r="I177" s="250"/>
      <c r="T177" s="19" t="s">
        <v>244</v>
      </c>
      <c r="U177" s="19" t="s">
        <v>209</v>
      </c>
      <c r="V177" s="19"/>
    </row>
    <row r="178" spans="1:22" ht="15.75" thickBot="1" x14ac:dyDescent="0.3">
      <c r="A178" s="148" t="s">
        <v>143</v>
      </c>
      <c r="B178" s="187" t="s">
        <v>28</v>
      </c>
      <c r="C178" s="187" t="s">
        <v>27</v>
      </c>
      <c r="D178" s="114"/>
      <c r="E178" s="67">
        <v>4</v>
      </c>
      <c r="F178" s="67">
        <v>4</v>
      </c>
      <c r="G178" s="189">
        <v>42156</v>
      </c>
      <c r="H178" s="250"/>
      <c r="I178" s="250"/>
      <c r="T178" s="19" t="s">
        <v>244</v>
      </c>
      <c r="U178" s="19" t="s">
        <v>209</v>
      </c>
      <c r="V178" s="19"/>
    </row>
    <row r="179" spans="1:22" ht="15.75" thickTop="1" x14ac:dyDescent="0.25">
      <c r="A179" s="143" t="s">
        <v>143</v>
      </c>
      <c r="B179" s="172" t="s">
        <v>29</v>
      </c>
      <c r="C179" s="172" t="s">
        <v>25</v>
      </c>
      <c r="D179" s="115"/>
      <c r="E179" s="30">
        <v>2</v>
      </c>
      <c r="F179" s="30">
        <v>3</v>
      </c>
      <c r="G179" s="174">
        <v>42156</v>
      </c>
      <c r="H179" s="287" t="str">
        <f t="shared" si="10"/>
        <v>Level 2</v>
      </c>
      <c r="I179" s="287" t="str">
        <f t="shared" si="10"/>
        <v>Level 2</v>
      </c>
      <c r="T179" s="19" t="s">
        <v>244</v>
      </c>
      <c r="U179" s="19" t="s">
        <v>209</v>
      </c>
      <c r="V179" s="19"/>
    </row>
    <row r="180" spans="1:22" x14ac:dyDescent="0.25">
      <c r="A180" s="144" t="s">
        <v>143</v>
      </c>
      <c r="B180" s="175" t="s">
        <v>29</v>
      </c>
      <c r="C180" s="175" t="s">
        <v>26</v>
      </c>
      <c r="D180" s="116"/>
      <c r="E180" s="26">
        <v>2</v>
      </c>
      <c r="F180" s="26">
        <v>2</v>
      </c>
      <c r="G180" s="177">
        <v>42156</v>
      </c>
      <c r="H180" s="250"/>
      <c r="I180" s="250"/>
      <c r="T180" s="19" t="s">
        <v>244</v>
      </c>
      <c r="U180" s="19" t="s">
        <v>209</v>
      </c>
      <c r="V180" s="19"/>
    </row>
    <row r="181" spans="1:22" ht="15.75" thickBot="1" x14ac:dyDescent="0.3">
      <c r="A181" s="145" t="s">
        <v>143</v>
      </c>
      <c r="B181" s="178" t="s">
        <v>29</v>
      </c>
      <c r="C181" s="178" t="s">
        <v>27</v>
      </c>
      <c r="D181" s="111"/>
      <c r="E181" s="31">
        <v>2</v>
      </c>
      <c r="F181" s="31">
        <v>3</v>
      </c>
      <c r="G181" s="180">
        <v>42156</v>
      </c>
      <c r="H181" s="250"/>
      <c r="I181" s="250"/>
      <c r="T181" s="19" t="s">
        <v>244</v>
      </c>
      <c r="U181" s="19" t="s">
        <v>209</v>
      </c>
      <c r="V181" s="19"/>
    </row>
    <row r="182" spans="1:22" ht="15.75" thickTop="1" x14ac:dyDescent="0.25">
      <c r="A182" s="146" t="s">
        <v>143</v>
      </c>
      <c r="B182" s="181" t="s">
        <v>30</v>
      </c>
      <c r="C182" s="181" t="s">
        <v>25</v>
      </c>
      <c r="D182" s="112"/>
      <c r="E182" s="65">
        <v>2</v>
      </c>
      <c r="F182" s="65">
        <v>3</v>
      </c>
      <c r="G182" s="183">
        <v>42156</v>
      </c>
      <c r="H182" s="287" t="str">
        <f t="shared" si="10"/>
        <v>Level 2</v>
      </c>
      <c r="I182" s="287" t="str">
        <f t="shared" si="10"/>
        <v>Level 3</v>
      </c>
      <c r="T182" s="19" t="s">
        <v>244</v>
      </c>
      <c r="U182" s="19" t="s">
        <v>209</v>
      </c>
      <c r="V182" s="19"/>
    </row>
    <row r="183" spans="1:22" x14ac:dyDescent="0.25">
      <c r="A183" s="147" t="s">
        <v>143</v>
      </c>
      <c r="B183" s="184" t="s">
        <v>30</v>
      </c>
      <c r="C183" s="184" t="s">
        <v>26</v>
      </c>
      <c r="D183" s="113"/>
      <c r="E183" s="66">
        <v>2</v>
      </c>
      <c r="F183" s="66">
        <v>3</v>
      </c>
      <c r="G183" s="186">
        <v>42156</v>
      </c>
      <c r="H183" s="250"/>
      <c r="I183" s="250"/>
      <c r="T183" s="19" t="s">
        <v>244</v>
      </c>
      <c r="U183" s="19" t="s">
        <v>209</v>
      </c>
      <c r="V183" s="19"/>
    </row>
    <row r="184" spans="1:22" ht="15.75" thickBot="1" x14ac:dyDescent="0.3">
      <c r="A184" s="148" t="s">
        <v>143</v>
      </c>
      <c r="B184" s="187" t="s">
        <v>30</v>
      </c>
      <c r="C184" s="187" t="s">
        <v>27</v>
      </c>
      <c r="D184" s="114"/>
      <c r="E184" s="67">
        <v>2</v>
      </c>
      <c r="F184" s="67">
        <v>3</v>
      </c>
      <c r="G184" s="189">
        <v>42156</v>
      </c>
      <c r="H184" s="250"/>
      <c r="I184" s="250"/>
      <c r="T184" s="19" t="s">
        <v>244</v>
      </c>
      <c r="U184" s="19" t="s">
        <v>209</v>
      </c>
      <c r="V184" s="19"/>
    </row>
    <row r="185" spans="1:22" ht="15.75" thickTop="1" x14ac:dyDescent="0.25">
      <c r="A185" s="143" t="s">
        <v>143</v>
      </c>
      <c r="B185" s="172" t="s">
        <v>31</v>
      </c>
      <c r="C185" s="172" t="s">
        <v>25</v>
      </c>
      <c r="D185" s="115"/>
      <c r="E185" s="30">
        <v>2</v>
      </c>
      <c r="F185" s="30">
        <v>2</v>
      </c>
      <c r="G185" s="174">
        <v>42156</v>
      </c>
      <c r="H185" s="287" t="str">
        <f t="shared" si="10"/>
        <v>Level 2</v>
      </c>
      <c r="I185" s="287" t="str">
        <f t="shared" si="10"/>
        <v>Level 2</v>
      </c>
      <c r="T185" s="19" t="s">
        <v>244</v>
      </c>
      <c r="U185" s="19" t="s">
        <v>209</v>
      </c>
      <c r="V185" s="19"/>
    </row>
    <row r="186" spans="1:22" x14ac:dyDescent="0.25">
      <c r="A186" s="144" t="s">
        <v>143</v>
      </c>
      <c r="B186" s="175" t="s">
        <v>31</v>
      </c>
      <c r="C186" s="175" t="s">
        <v>26</v>
      </c>
      <c r="D186" s="116"/>
      <c r="E186" s="26">
        <v>2</v>
      </c>
      <c r="F186" s="26">
        <v>3</v>
      </c>
      <c r="G186" s="177">
        <v>42156</v>
      </c>
      <c r="H186" s="250"/>
      <c r="I186" s="250"/>
      <c r="T186" s="19" t="s">
        <v>244</v>
      </c>
      <c r="U186" s="19" t="s">
        <v>209</v>
      </c>
      <c r="V186" s="19"/>
    </row>
    <row r="187" spans="1:22" ht="15.75" thickBot="1" x14ac:dyDescent="0.3">
      <c r="A187" s="145" t="s">
        <v>143</v>
      </c>
      <c r="B187" s="178" t="s">
        <v>31</v>
      </c>
      <c r="C187" s="178" t="s">
        <v>27</v>
      </c>
      <c r="D187" s="111"/>
      <c r="E187" s="31">
        <v>2</v>
      </c>
      <c r="F187" s="31">
        <v>3</v>
      </c>
      <c r="G187" s="180">
        <v>42156</v>
      </c>
      <c r="H187" s="250"/>
      <c r="I187" s="250"/>
      <c r="T187" s="19" t="s">
        <v>244</v>
      </c>
      <c r="U187" s="19" t="s">
        <v>209</v>
      </c>
      <c r="V187" s="19"/>
    </row>
    <row r="188" spans="1:22" ht="15.75" thickTop="1" x14ac:dyDescent="0.25">
      <c r="A188" s="146" t="s">
        <v>143</v>
      </c>
      <c r="B188" s="181" t="s">
        <v>32</v>
      </c>
      <c r="C188" s="181" t="s">
        <v>25</v>
      </c>
      <c r="D188" s="112"/>
      <c r="E188" s="65">
        <v>2</v>
      </c>
      <c r="F188" s="65">
        <v>2</v>
      </c>
      <c r="G188" s="183">
        <v>42156</v>
      </c>
      <c r="H188" s="287" t="str">
        <f t="shared" si="10"/>
        <v>Level 1</v>
      </c>
      <c r="I188" s="287" t="str">
        <f t="shared" si="10"/>
        <v>Level 2</v>
      </c>
      <c r="T188" s="19" t="s">
        <v>244</v>
      </c>
      <c r="U188" s="19" t="s">
        <v>209</v>
      </c>
      <c r="V188" s="19"/>
    </row>
    <row r="189" spans="1:22" x14ac:dyDescent="0.25">
      <c r="A189" s="147" t="s">
        <v>143</v>
      </c>
      <c r="B189" s="184" t="s">
        <v>32</v>
      </c>
      <c r="C189" s="184" t="s">
        <v>26</v>
      </c>
      <c r="D189" s="113"/>
      <c r="E189" s="66">
        <v>1</v>
      </c>
      <c r="F189" s="66">
        <v>2</v>
      </c>
      <c r="G189" s="186">
        <v>42156</v>
      </c>
      <c r="H189" s="250"/>
      <c r="I189" s="250"/>
      <c r="T189" s="19" t="s">
        <v>244</v>
      </c>
      <c r="U189" s="19" t="s">
        <v>209</v>
      </c>
      <c r="V189" s="19"/>
    </row>
    <row r="190" spans="1:22" ht="15.75" thickBot="1" x14ac:dyDescent="0.3">
      <c r="A190" s="148" t="s">
        <v>143</v>
      </c>
      <c r="B190" s="187" t="s">
        <v>32</v>
      </c>
      <c r="C190" s="187" t="s">
        <v>27</v>
      </c>
      <c r="D190" s="114"/>
      <c r="E190" s="67">
        <v>1</v>
      </c>
      <c r="F190" s="67">
        <v>2</v>
      </c>
      <c r="G190" s="189">
        <v>42156</v>
      </c>
      <c r="H190" s="250"/>
      <c r="I190" s="250"/>
      <c r="T190" s="19" t="s">
        <v>244</v>
      </c>
      <c r="U190" s="19" t="s">
        <v>209</v>
      </c>
      <c r="V190" s="19"/>
    </row>
    <row r="191" spans="1:22" ht="15.75" thickTop="1" x14ac:dyDescent="0.25">
      <c r="A191" s="143" t="s">
        <v>143</v>
      </c>
      <c r="B191" s="172" t="s">
        <v>33</v>
      </c>
      <c r="C191" s="172" t="s">
        <v>25</v>
      </c>
      <c r="D191" s="115"/>
      <c r="E191" s="30">
        <v>1</v>
      </c>
      <c r="F191" s="30">
        <v>2</v>
      </c>
      <c r="G191" s="174">
        <v>42156</v>
      </c>
      <c r="H191" s="287" t="str">
        <f t="shared" si="10"/>
        <v>Level 1</v>
      </c>
      <c r="I191" s="287" t="str">
        <f t="shared" si="10"/>
        <v>Level 2</v>
      </c>
      <c r="T191" s="19" t="s">
        <v>244</v>
      </c>
      <c r="U191" s="19" t="s">
        <v>209</v>
      </c>
      <c r="V191" s="19"/>
    </row>
    <row r="192" spans="1:22" x14ac:dyDescent="0.25">
      <c r="A192" s="144" t="s">
        <v>143</v>
      </c>
      <c r="B192" s="175" t="s">
        <v>33</v>
      </c>
      <c r="C192" s="175" t="s">
        <v>26</v>
      </c>
      <c r="D192" s="116"/>
      <c r="E192" s="26">
        <v>2</v>
      </c>
      <c r="F192" s="26">
        <v>2</v>
      </c>
      <c r="G192" s="177">
        <v>42156</v>
      </c>
      <c r="H192" s="250"/>
      <c r="I192" s="250"/>
      <c r="T192" s="19" t="s">
        <v>244</v>
      </c>
      <c r="U192" s="19" t="s">
        <v>209</v>
      </c>
      <c r="V192" s="19"/>
    </row>
    <row r="193" spans="1:22" ht="15.75" thickBot="1" x14ac:dyDescent="0.3">
      <c r="A193" s="145" t="s">
        <v>143</v>
      </c>
      <c r="B193" s="178" t="s">
        <v>33</v>
      </c>
      <c r="C193" s="178" t="s">
        <v>27</v>
      </c>
      <c r="D193" s="111"/>
      <c r="E193" s="31">
        <v>2</v>
      </c>
      <c r="F193" s="31">
        <v>2</v>
      </c>
      <c r="G193" s="180">
        <v>42156</v>
      </c>
      <c r="H193" s="250"/>
      <c r="I193" s="250"/>
      <c r="T193" s="19" t="s">
        <v>244</v>
      </c>
      <c r="U193" s="19" t="s">
        <v>209</v>
      </c>
      <c r="V193" s="19"/>
    </row>
    <row r="194" spans="1:22" ht="15.75" thickTop="1" x14ac:dyDescent="0.25">
      <c r="A194" s="146" t="s">
        <v>5</v>
      </c>
      <c r="B194" s="181" t="s">
        <v>24</v>
      </c>
      <c r="C194" s="181" t="s">
        <v>25</v>
      </c>
      <c r="D194" s="112"/>
      <c r="E194" s="65">
        <v>2</v>
      </c>
      <c r="F194" s="65">
        <v>2</v>
      </c>
      <c r="G194" s="183">
        <v>42156</v>
      </c>
      <c r="H194" s="287" t="str">
        <f t="shared" si="10"/>
        <v>Level 2</v>
      </c>
      <c r="I194" s="287" t="str">
        <f t="shared" si="10"/>
        <v>Level 2</v>
      </c>
      <c r="T194" s="19" t="s">
        <v>244</v>
      </c>
      <c r="U194" s="19" t="s">
        <v>209</v>
      </c>
      <c r="V194" s="19"/>
    </row>
    <row r="195" spans="1:22" x14ac:dyDescent="0.25">
      <c r="A195" s="147" t="s">
        <v>5</v>
      </c>
      <c r="B195" s="184" t="s">
        <v>24</v>
      </c>
      <c r="C195" s="184" t="s">
        <v>26</v>
      </c>
      <c r="D195" s="113"/>
      <c r="E195" s="66">
        <v>2</v>
      </c>
      <c r="F195" s="66">
        <v>2</v>
      </c>
      <c r="G195" s="186">
        <v>42156</v>
      </c>
      <c r="H195" s="250"/>
      <c r="I195" s="250"/>
      <c r="T195" s="19" t="s">
        <v>244</v>
      </c>
      <c r="U195" s="19" t="s">
        <v>209</v>
      </c>
      <c r="V195" s="19"/>
    </row>
    <row r="196" spans="1:22" ht="15.75" thickBot="1" x14ac:dyDescent="0.3">
      <c r="A196" s="148" t="s">
        <v>5</v>
      </c>
      <c r="B196" s="187" t="s">
        <v>24</v>
      </c>
      <c r="C196" s="187" t="s">
        <v>27</v>
      </c>
      <c r="D196" s="114"/>
      <c r="E196" s="67">
        <v>2</v>
      </c>
      <c r="F196" s="67">
        <v>2</v>
      </c>
      <c r="G196" s="189">
        <v>42156</v>
      </c>
      <c r="H196" s="250"/>
      <c r="I196" s="250"/>
      <c r="T196" s="19" t="s">
        <v>244</v>
      </c>
      <c r="U196" s="19" t="s">
        <v>209</v>
      </c>
      <c r="V196" s="19"/>
    </row>
    <row r="197" spans="1:22" ht="15.75" thickTop="1" x14ac:dyDescent="0.25">
      <c r="A197" s="143" t="s">
        <v>5</v>
      </c>
      <c r="B197" s="172" t="s">
        <v>28</v>
      </c>
      <c r="C197" s="172" t="s">
        <v>25</v>
      </c>
      <c r="D197" s="115"/>
      <c r="E197" s="30">
        <v>4</v>
      </c>
      <c r="F197" s="30">
        <v>5</v>
      </c>
      <c r="G197" s="174">
        <v>42156</v>
      </c>
      <c r="H197" s="287" t="str">
        <f t="shared" si="10"/>
        <v>Level 4</v>
      </c>
      <c r="I197" s="287" t="str">
        <f t="shared" si="10"/>
        <v>Level 5</v>
      </c>
      <c r="T197" s="19" t="s">
        <v>244</v>
      </c>
      <c r="U197" s="19" t="s">
        <v>209</v>
      </c>
      <c r="V197" s="19"/>
    </row>
    <row r="198" spans="1:22" x14ac:dyDescent="0.25">
      <c r="A198" s="144" t="s">
        <v>5</v>
      </c>
      <c r="B198" s="175" t="s">
        <v>28</v>
      </c>
      <c r="C198" s="175" t="s">
        <v>26</v>
      </c>
      <c r="D198" s="116"/>
      <c r="E198" s="26">
        <v>4</v>
      </c>
      <c r="F198" s="26">
        <v>5</v>
      </c>
      <c r="G198" s="177">
        <v>42156</v>
      </c>
      <c r="H198" s="250"/>
      <c r="I198" s="250"/>
      <c r="T198" s="19" t="s">
        <v>244</v>
      </c>
      <c r="U198" s="19" t="s">
        <v>209</v>
      </c>
      <c r="V198" s="19"/>
    </row>
    <row r="199" spans="1:22" ht="15.75" thickBot="1" x14ac:dyDescent="0.3">
      <c r="A199" s="145" t="s">
        <v>5</v>
      </c>
      <c r="B199" s="178" t="s">
        <v>28</v>
      </c>
      <c r="C199" s="178" t="s">
        <v>27</v>
      </c>
      <c r="D199" s="111"/>
      <c r="E199" s="31">
        <v>4</v>
      </c>
      <c r="F199" s="31">
        <v>5</v>
      </c>
      <c r="G199" s="180">
        <v>42156</v>
      </c>
      <c r="H199" s="250"/>
      <c r="I199" s="250"/>
      <c r="T199" s="19" t="s">
        <v>244</v>
      </c>
      <c r="U199" s="19" t="s">
        <v>209</v>
      </c>
      <c r="V199" s="19"/>
    </row>
    <row r="200" spans="1:22" ht="15.75" thickTop="1" x14ac:dyDescent="0.25">
      <c r="A200" s="146" t="s">
        <v>5</v>
      </c>
      <c r="B200" s="181" t="s">
        <v>29</v>
      </c>
      <c r="C200" s="181" t="s">
        <v>25</v>
      </c>
      <c r="D200" s="112"/>
      <c r="E200" s="65">
        <v>2</v>
      </c>
      <c r="F200" s="65">
        <v>3</v>
      </c>
      <c r="G200" s="183">
        <v>42156</v>
      </c>
      <c r="H200" s="287" t="str">
        <f t="shared" si="10"/>
        <v>Level 2</v>
      </c>
      <c r="I200" s="287" t="str">
        <f t="shared" si="10"/>
        <v>Level 3</v>
      </c>
      <c r="T200" s="19" t="s">
        <v>244</v>
      </c>
      <c r="U200" s="19" t="s">
        <v>209</v>
      </c>
      <c r="V200" s="19"/>
    </row>
    <row r="201" spans="1:22" x14ac:dyDescent="0.25">
      <c r="A201" s="147" t="s">
        <v>5</v>
      </c>
      <c r="B201" s="184" t="s">
        <v>29</v>
      </c>
      <c r="C201" s="184" t="s">
        <v>26</v>
      </c>
      <c r="D201" s="113"/>
      <c r="E201" s="66">
        <v>2</v>
      </c>
      <c r="F201" s="66">
        <v>3</v>
      </c>
      <c r="G201" s="186">
        <v>42156</v>
      </c>
      <c r="H201" s="250"/>
      <c r="I201" s="250"/>
      <c r="T201" s="19" t="s">
        <v>244</v>
      </c>
      <c r="U201" s="19" t="s">
        <v>209</v>
      </c>
      <c r="V201" s="19"/>
    </row>
    <row r="202" spans="1:22" ht="15.75" thickBot="1" x14ac:dyDescent="0.3">
      <c r="A202" s="148" t="s">
        <v>5</v>
      </c>
      <c r="B202" s="187" t="s">
        <v>29</v>
      </c>
      <c r="C202" s="187" t="s">
        <v>27</v>
      </c>
      <c r="D202" s="114"/>
      <c r="E202" s="67">
        <v>2</v>
      </c>
      <c r="F202" s="67">
        <v>3</v>
      </c>
      <c r="G202" s="189">
        <v>42156</v>
      </c>
      <c r="H202" s="250"/>
      <c r="I202" s="250"/>
      <c r="T202" s="19" t="s">
        <v>244</v>
      </c>
      <c r="U202" s="19" t="s">
        <v>209</v>
      </c>
      <c r="V202" s="19"/>
    </row>
    <row r="203" spans="1:22" ht="15.75" thickTop="1" x14ac:dyDescent="0.25">
      <c r="A203" s="143" t="s">
        <v>5</v>
      </c>
      <c r="B203" s="172" t="s">
        <v>30</v>
      </c>
      <c r="C203" s="172" t="s">
        <v>25</v>
      </c>
      <c r="D203" s="115"/>
      <c r="E203" s="30">
        <v>2</v>
      </c>
      <c r="F203" s="30">
        <v>2</v>
      </c>
      <c r="G203" s="174">
        <v>42156</v>
      </c>
      <c r="H203" s="287" t="str">
        <f t="shared" si="10"/>
        <v>Level 1</v>
      </c>
      <c r="I203" s="287" t="str">
        <f t="shared" si="10"/>
        <v>Level 2</v>
      </c>
      <c r="T203" s="19" t="s">
        <v>244</v>
      </c>
      <c r="U203" s="19" t="s">
        <v>209</v>
      </c>
      <c r="V203" s="19"/>
    </row>
    <row r="204" spans="1:22" x14ac:dyDescent="0.25">
      <c r="A204" s="144" t="s">
        <v>5</v>
      </c>
      <c r="B204" s="175" t="s">
        <v>30</v>
      </c>
      <c r="C204" s="175" t="s">
        <v>26</v>
      </c>
      <c r="D204" s="116"/>
      <c r="E204" s="26">
        <v>1</v>
      </c>
      <c r="F204" s="26">
        <v>2</v>
      </c>
      <c r="G204" s="177">
        <v>42156</v>
      </c>
      <c r="H204" s="250"/>
      <c r="I204" s="250"/>
      <c r="T204" s="19" t="s">
        <v>244</v>
      </c>
      <c r="U204" s="19" t="s">
        <v>209</v>
      </c>
      <c r="V204" s="19"/>
    </row>
    <row r="205" spans="1:22" ht="15.75" thickBot="1" x14ac:dyDescent="0.3">
      <c r="A205" s="145" t="s">
        <v>5</v>
      </c>
      <c r="B205" s="178" t="s">
        <v>30</v>
      </c>
      <c r="C205" s="178" t="s">
        <v>27</v>
      </c>
      <c r="D205" s="111"/>
      <c r="E205" s="31">
        <v>2</v>
      </c>
      <c r="F205" s="31">
        <v>2</v>
      </c>
      <c r="G205" s="180">
        <v>42156</v>
      </c>
      <c r="H205" s="250"/>
      <c r="I205" s="250"/>
      <c r="T205" s="19" t="s">
        <v>244</v>
      </c>
      <c r="U205" s="19" t="s">
        <v>209</v>
      </c>
      <c r="V205" s="19"/>
    </row>
    <row r="206" spans="1:22" ht="15.75" thickTop="1" x14ac:dyDescent="0.25">
      <c r="A206" s="146" t="s">
        <v>5</v>
      </c>
      <c r="B206" s="181" t="s">
        <v>31</v>
      </c>
      <c r="C206" s="181" t="s">
        <v>25</v>
      </c>
      <c r="D206" s="112"/>
      <c r="E206" s="65">
        <v>2</v>
      </c>
      <c r="F206" s="65">
        <v>3</v>
      </c>
      <c r="G206" s="183">
        <v>42156</v>
      </c>
      <c r="H206" s="287" t="str">
        <f t="shared" ref="H206:I212" si="11">CONCATENATE("Level"," ",MIN(E206:E208))</f>
        <v>Level 2</v>
      </c>
      <c r="I206" s="287" t="str">
        <f t="shared" ref="I206:I209" si="12">CONCATENATE("Level"," ",MIN(F206:F208))</f>
        <v>Level 3</v>
      </c>
      <c r="T206" s="19" t="s">
        <v>244</v>
      </c>
      <c r="U206" s="19" t="s">
        <v>209</v>
      </c>
      <c r="V206" s="19"/>
    </row>
    <row r="207" spans="1:22" x14ac:dyDescent="0.25">
      <c r="A207" s="147" t="s">
        <v>5</v>
      </c>
      <c r="B207" s="184" t="s">
        <v>31</v>
      </c>
      <c r="C207" s="184" t="s">
        <v>26</v>
      </c>
      <c r="D207" s="113"/>
      <c r="E207" s="66">
        <v>2</v>
      </c>
      <c r="F207" s="66">
        <v>3</v>
      </c>
      <c r="G207" s="186">
        <v>42156</v>
      </c>
      <c r="H207" s="250"/>
      <c r="I207" s="250"/>
      <c r="T207" s="19" t="s">
        <v>244</v>
      </c>
      <c r="U207" s="19" t="s">
        <v>209</v>
      </c>
      <c r="V207" s="19"/>
    </row>
    <row r="208" spans="1:22" ht="15.75" thickBot="1" x14ac:dyDescent="0.3">
      <c r="A208" s="148" t="s">
        <v>5</v>
      </c>
      <c r="B208" s="187" t="s">
        <v>31</v>
      </c>
      <c r="C208" s="187" t="s">
        <v>27</v>
      </c>
      <c r="D208" s="114"/>
      <c r="E208" s="67">
        <v>2</v>
      </c>
      <c r="F208" s="67">
        <v>3</v>
      </c>
      <c r="G208" s="189">
        <v>42156</v>
      </c>
      <c r="H208" s="250"/>
      <c r="I208" s="250"/>
      <c r="T208" s="19" t="s">
        <v>244</v>
      </c>
      <c r="U208" s="19" t="s">
        <v>209</v>
      </c>
      <c r="V208" s="19"/>
    </row>
    <row r="209" spans="1:22" ht="15.75" thickTop="1" x14ac:dyDescent="0.25">
      <c r="A209" s="143" t="s">
        <v>5</v>
      </c>
      <c r="B209" s="172" t="s">
        <v>32</v>
      </c>
      <c r="C209" s="172" t="s">
        <v>25</v>
      </c>
      <c r="D209" s="115"/>
      <c r="E209" s="30">
        <v>2</v>
      </c>
      <c r="F209" s="30">
        <v>3</v>
      </c>
      <c r="G209" s="174">
        <v>42156</v>
      </c>
      <c r="H209" s="287" t="str">
        <f t="shared" si="11"/>
        <v>Level 2</v>
      </c>
      <c r="I209" s="287" t="str">
        <f t="shared" si="12"/>
        <v>Level 3</v>
      </c>
      <c r="T209" s="19" t="s">
        <v>244</v>
      </c>
      <c r="U209" s="19" t="s">
        <v>209</v>
      </c>
      <c r="V209" s="19"/>
    </row>
    <row r="210" spans="1:22" x14ac:dyDescent="0.25">
      <c r="A210" s="144" t="s">
        <v>5</v>
      </c>
      <c r="B210" s="175" t="s">
        <v>32</v>
      </c>
      <c r="C210" s="175" t="s">
        <v>26</v>
      </c>
      <c r="D210" s="116"/>
      <c r="E210" s="26">
        <v>2</v>
      </c>
      <c r="F210" s="26">
        <v>3</v>
      </c>
      <c r="G210" s="177">
        <v>42156</v>
      </c>
      <c r="H210" s="250"/>
      <c r="I210" s="250"/>
      <c r="T210" s="19" t="s">
        <v>244</v>
      </c>
      <c r="U210" s="19" t="s">
        <v>209</v>
      </c>
      <c r="V210" s="19"/>
    </row>
    <row r="211" spans="1:22" ht="15.75" thickBot="1" x14ac:dyDescent="0.3">
      <c r="A211" s="145" t="s">
        <v>5</v>
      </c>
      <c r="B211" s="178" t="s">
        <v>32</v>
      </c>
      <c r="C211" s="178" t="s">
        <v>27</v>
      </c>
      <c r="D211" s="111"/>
      <c r="E211" s="31">
        <v>2</v>
      </c>
      <c r="F211" s="31">
        <v>3</v>
      </c>
      <c r="G211" s="180">
        <v>42156</v>
      </c>
      <c r="H211" s="250"/>
      <c r="I211" s="250"/>
      <c r="T211" s="19" t="s">
        <v>244</v>
      </c>
      <c r="U211" s="19" t="s">
        <v>209</v>
      </c>
      <c r="V211" s="19"/>
    </row>
    <row r="212" spans="1:22" ht="15.75" thickTop="1" x14ac:dyDescent="0.25">
      <c r="A212" s="146" t="s">
        <v>5</v>
      </c>
      <c r="B212" s="181" t="s">
        <v>33</v>
      </c>
      <c r="C212" s="181" t="s">
        <v>25</v>
      </c>
      <c r="D212" s="112"/>
      <c r="E212" s="65">
        <v>2</v>
      </c>
      <c r="F212" s="65">
        <v>3</v>
      </c>
      <c r="G212" s="183">
        <v>42156</v>
      </c>
      <c r="H212" s="287" t="str">
        <f t="shared" si="11"/>
        <v>Level 2</v>
      </c>
      <c r="I212" s="287" t="str">
        <f t="shared" si="11"/>
        <v>Level 3</v>
      </c>
      <c r="T212" s="19" t="s">
        <v>244</v>
      </c>
      <c r="U212" s="19" t="s">
        <v>209</v>
      </c>
      <c r="V212" s="19"/>
    </row>
    <row r="213" spans="1:22" x14ac:dyDescent="0.25">
      <c r="A213" s="147" t="s">
        <v>5</v>
      </c>
      <c r="B213" s="184" t="s">
        <v>33</v>
      </c>
      <c r="C213" s="184" t="s">
        <v>26</v>
      </c>
      <c r="D213" s="113"/>
      <c r="E213" s="66">
        <v>2</v>
      </c>
      <c r="F213" s="66">
        <v>3</v>
      </c>
      <c r="G213" s="186">
        <v>42156</v>
      </c>
      <c r="H213" s="250"/>
      <c r="I213" s="250"/>
      <c r="T213" s="19" t="s">
        <v>244</v>
      </c>
      <c r="U213" s="19" t="s">
        <v>209</v>
      </c>
      <c r="V213" s="19"/>
    </row>
    <row r="214" spans="1:22" ht="15.75" thickBot="1" x14ac:dyDescent="0.3">
      <c r="A214" s="148" t="s">
        <v>5</v>
      </c>
      <c r="B214" s="187" t="s">
        <v>33</v>
      </c>
      <c r="C214" s="187" t="s">
        <v>27</v>
      </c>
      <c r="D214" s="114"/>
      <c r="E214" s="67">
        <v>2</v>
      </c>
      <c r="F214" s="67">
        <v>3</v>
      </c>
      <c r="G214" s="189">
        <v>42156</v>
      </c>
      <c r="H214" s="250"/>
      <c r="I214" s="250"/>
      <c r="T214" s="19" t="s">
        <v>244</v>
      </c>
      <c r="U214" s="19" t="s">
        <v>209</v>
      </c>
      <c r="V214" s="19"/>
    </row>
    <row r="215" spans="1:22" ht="15.75" thickTop="1" x14ac:dyDescent="0.25">
      <c r="I215" s="1"/>
      <c r="T215" s="22"/>
      <c r="U215" s="22"/>
    </row>
    <row r="216" spans="1:22" x14ac:dyDescent="0.25">
      <c r="I216" s="1"/>
      <c r="T216" s="22"/>
      <c r="U216" s="22"/>
    </row>
    <row r="217" spans="1:22" x14ac:dyDescent="0.25">
      <c r="T217" s="22"/>
      <c r="U217" s="22"/>
    </row>
    <row r="218" spans="1:22" x14ac:dyDescent="0.25">
      <c r="T218" s="22"/>
      <c r="U218" s="22"/>
    </row>
    <row r="219" spans="1:22" x14ac:dyDescent="0.25">
      <c r="T219" s="22"/>
      <c r="U219" s="22"/>
    </row>
    <row r="220" spans="1:22" x14ac:dyDescent="0.25">
      <c r="T220" s="22"/>
      <c r="U220" s="22"/>
    </row>
    <row r="221" spans="1:22" x14ac:dyDescent="0.25">
      <c r="T221" s="22"/>
      <c r="U221" s="22"/>
    </row>
    <row r="222" spans="1:22" x14ac:dyDescent="0.25">
      <c r="T222" s="22"/>
      <c r="U222" s="22"/>
    </row>
    <row r="223" spans="1:22" x14ac:dyDescent="0.25">
      <c r="T223" s="22"/>
      <c r="U223" s="22"/>
    </row>
    <row r="224" spans="1:22" x14ac:dyDescent="0.25">
      <c r="T224" s="22"/>
      <c r="U224" s="22"/>
    </row>
    <row r="225" spans="20:21" x14ac:dyDescent="0.25">
      <c r="T225" s="22"/>
      <c r="U225" s="22"/>
    </row>
    <row r="226" spans="20:21" x14ac:dyDescent="0.25">
      <c r="T226" s="22"/>
      <c r="U226" s="22"/>
    </row>
    <row r="227" spans="20:21" x14ac:dyDescent="0.25">
      <c r="T227" s="22"/>
      <c r="U227" s="22"/>
    </row>
    <row r="228" spans="20:21" x14ac:dyDescent="0.25">
      <c r="T228" s="22"/>
      <c r="U228" s="22"/>
    </row>
    <row r="229" spans="20:21" x14ac:dyDescent="0.25">
      <c r="T229" s="22"/>
      <c r="U229" s="22"/>
    </row>
    <row r="230" spans="20:21" x14ac:dyDescent="0.25">
      <c r="T230" s="22"/>
      <c r="U230" s="22"/>
    </row>
    <row r="231" spans="20:21" x14ac:dyDescent="0.25">
      <c r="T231" s="22"/>
      <c r="U231" s="22"/>
    </row>
    <row r="232" spans="20:21" x14ac:dyDescent="0.25">
      <c r="T232" s="22"/>
      <c r="U232" s="22"/>
    </row>
    <row r="233" spans="20:21" x14ac:dyDescent="0.25">
      <c r="T233" s="22"/>
      <c r="U233" s="22"/>
    </row>
    <row r="234" spans="20:21" x14ac:dyDescent="0.25">
      <c r="T234" s="22"/>
      <c r="U234" s="22"/>
    </row>
    <row r="235" spans="20:21" x14ac:dyDescent="0.25">
      <c r="T235" s="22"/>
      <c r="U235" s="22"/>
    </row>
    <row r="236" spans="20:21" x14ac:dyDescent="0.25">
      <c r="T236" s="22"/>
      <c r="U236" s="22"/>
    </row>
    <row r="237" spans="20:21" x14ac:dyDescent="0.25">
      <c r="T237" s="22"/>
      <c r="U237" s="22"/>
    </row>
    <row r="238" spans="20:21" x14ac:dyDescent="0.25">
      <c r="T238" s="22"/>
      <c r="U238" s="22"/>
    </row>
    <row r="239" spans="20:21" x14ac:dyDescent="0.25">
      <c r="T239" s="22"/>
      <c r="U239" s="22"/>
    </row>
    <row r="240" spans="20:21" x14ac:dyDescent="0.25">
      <c r="T240" s="22"/>
      <c r="U240" s="22"/>
    </row>
    <row r="241" spans="20:21" x14ac:dyDescent="0.25">
      <c r="T241" s="22"/>
      <c r="U241" s="22"/>
    </row>
    <row r="242" spans="20:21" x14ac:dyDescent="0.25">
      <c r="T242" s="22"/>
      <c r="U242" s="22"/>
    </row>
    <row r="243" spans="20:21" x14ac:dyDescent="0.25">
      <c r="T243" s="22"/>
      <c r="U243" s="22"/>
    </row>
    <row r="244" spans="20:21" x14ac:dyDescent="0.25">
      <c r="T244" s="22"/>
      <c r="U244" s="22"/>
    </row>
    <row r="245" spans="20:21" x14ac:dyDescent="0.25">
      <c r="T245" s="22"/>
      <c r="U245" s="22"/>
    </row>
    <row r="246" spans="20:21" x14ac:dyDescent="0.25">
      <c r="T246" s="22"/>
      <c r="U246" s="22"/>
    </row>
    <row r="247" spans="20:21" x14ac:dyDescent="0.25">
      <c r="T247" s="22"/>
      <c r="U247" s="22"/>
    </row>
    <row r="248" spans="20:21" x14ac:dyDescent="0.25">
      <c r="T248" s="22"/>
      <c r="U248" s="22"/>
    </row>
    <row r="249" spans="20:21" x14ac:dyDescent="0.25">
      <c r="T249" s="22"/>
      <c r="U249" s="22"/>
    </row>
    <row r="250" spans="20:21" x14ac:dyDescent="0.25">
      <c r="T250" s="22"/>
      <c r="U250" s="22"/>
    </row>
    <row r="251" spans="20:21" x14ac:dyDescent="0.25">
      <c r="T251" s="22"/>
      <c r="U251" s="22"/>
    </row>
    <row r="252" spans="20:21" x14ac:dyDescent="0.25">
      <c r="T252" s="22"/>
      <c r="U252" s="22"/>
    </row>
    <row r="253" spans="20:21" x14ac:dyDescent="0.25">
      <c r="T253" s="22"/>
      <c r="U253" s="22"/>
    </row>
    <row r="254" spans="20:21" x14ac:dyDescent="0.25">
      <c r="T254" s="22"/>
      <c r="U254" s="22"/>
    </row>
    <row r="255" spans="20:21" x14ac:dyDescent="0.25">
      <c r="T255" s="22"/>
      <c r="U255" s="22"/>
    </row>
    <row r="256" spans="20:21" x14ac:dyDescent="0.25">
      <c r="T256" s="22"/>
      <c r="U256" s="22"/>
    </row>
    <row r="257" spans="20:21" x14ac:dyDescent="0.25">
      <c r="T257" s="22"/>
      <c r="U257" s="22"/>
    </row>
    <row r="258" spans="20:21" x14ac:dyDescent="0.25">
      <c r="T258" s="22"/>
      <c r="U258" s="22"/>
    </row>
    <row r="259" spans="20:21" x14ac:dyDescent="0.25">
      <c r="T259" s="22"/>
      <c r="U259" s="22"/>
    </row>
    <row r="260" spans="20:21" x14ac:dyDescent="0.25">
      <c r="T260" s="22"/>
      <c r="U260" s="22"/>
    </row>
    <row r="261" spans="20:21" x14ac:dyDescent="0.25">
      <c r="T261" s="22"/>
      <c r="U261" s="22"/>
    </row>
    <row r="262" spans="20:21" x14ac:dyDescent="0.25">
      <c r="T262" s="22"/>
      <c r="U262" s="22"/>
    </row>
    <row r="263" spans="20:21" x14ac:dyDescent="0.25">
      <c r="T263" s="22"/>
      <c r="U263" s="22"/>
    </row>
    <row r="264" spans="20:21" x14ac:dyDescent="0.25">
      <c r="T264" s="22"/>
      <c r="U264" s="22"/>
    </row>
    <row r="265" spans="20:21" x14ac:dyDescent="0.25">
      <c r="T265" s="22"/>
      <c r="U265" s="22"/>
    </row>
    <row r="266" spans="20:21" x14ac:dyDescent="0.25">
      <c r="T266" s="22"/>
      <c r="U266" s="22"/>
    </row>
    <row r="267" spans="20:21" x14ac:dyDescent="0.25">
      <c r="T267" s="22"/>
      <c r="U267" s="22"/>
    </row>
    <row r="268" spans="20:21" x14ac:dyDescent="0.25">
      <c r="T268" s="22"/>
      <c r="U268" s="22"/>
    </row>
    <row r="269" spans="20:21" x14ac:dyDescent="0.25">
      <c r="T269" s="22"/>
      <c r="U269" s="22"/>
    </row>
    <row r="270" spans="20:21" x14ac:dyDescent="0.25">
      <c r="T270" s="22"/>
      <c r="U270" s="22"/>
    </row>
    <row r="271" spans="20:21" x14ac:dyDescent="0.25">
      <c r="T271" s="22"/>
      <c r="U271" s="22"/>
    </row>
    <row r="272" spans="20:21" x14ac:dyDescent="0.25">
      <c r="T272" s="22"/>
      <c r="U272" s="22"/>
    </row>
    <row r="273" spans="20:21" x14ac:dyDescent="0.25">
      <c r="T273" s="22"/>
      <c r="U273" s="22"/>
    </row>
    <row r="274" spans="20:21" x14ac:dyDescent="0.25">
      <c r="T274" s="22"/>
      <c r="U274" s="22"/>
    </row>
    <row r="275" spans="20:21" x14ac:dyDescent="0.25">
      <c r="T275" s="22"/>
      <c r="U275" s="22"/>
    </row>
    <row r="276" spans="20:21" x14ac:dyDescent="0.25">
      <c r="T276" s="22"/>
      <c r="U276" s="22"/>
    </row>
    <row r="277" spans="20:21" x14ac:dyDescent="0.25">
      <c r="T277" s="22"/>
      <c r="U277" s="22"/>
    </row>
    <row r="278" spans="20:21" x14ac:dyDescent="0.25">
      <c r="T278" s="22"/>
      <c r="U278" s="22"/>
    </row>
    <row r="279" spans="20:21" x14ac:dyDescent="0.25">
      <c r="T279" s="22"/>
      <c r="U279" s="22"/>
    </row>
    <row r="280" spans="20:21" x14ac:dyDescent="0.25">
      <c r="T280" s="22"/>
      <c r="U280" s="22"/>
    </row>
    <row r="281" spans="20:21" x14ac:dyDescent="0.25">
      <c r="T281" s="22"/>
      <c r="U281" s="22"/>
    </row>
    <row r="282" spans="20:21" x14ac:dyDescent="0.25">
      <c r="T282" s="22"/>
      <c r="U282" s="22"/>
    </row>
    <row r="283" spans="20:21" x14ac:dyDescent="0.25">
      <c r="T283" s="22"/>
      <c r="U283" s="22"/>
    </row>
    <row r="284" spans="20:21" x14ac:dyDescent="0.25">
      <c r="T284" s="22"/>
      <c r="U284" s="22"/>
    </row>
    <row r="285" spans="20:21" x14ac:dyDescent="0.25">
      <c r="T285" s="22"/>
      <c r="U285" s="22"/>
    </row>
    <row r="286" spans="20:21" x14ac:dyDescent="0.25">
      <c r="T286" s="22"/>
      <c r="U286" s="22"/>
    </row>
    <row r="287" spans="20:21" x14ac:dyDescent="0.25">
      <c r="T287" s="22"/>
      <c r="U287" s="22"/>
    </row>
    <row r="288" spans="20:21" x14ac:dyDescent="0.25">
      <c r="T288" s="22"/>
      <c r="U288" s="22"/>
    </row>
    <row r="289" spans="20:21" x14ac:dyDescent="0.25">
      <c r="T289" s="22"/>
      <c r="U289" s="22"/>
    </row>
    <row r="290" spans="20:21" x14ac:dyDescent="0.25">
      <c r="T290" s="22"/>
      <c r="U290" s="22"/>
    </row>
    <row r="291" spans="20:21" x14ac:dyDescent="0.25">
      <c r="T291" s="22"/>
      <c r="U291" s="22"/>
    </row>
    <row r="292" spans="20:21" x14ac:dyDescent="0.25">
      <c r="T292" s="22"/>
      <c r="U292" s="22"/>
    </row>
    <row r="293" spans="20:21" x14ac:dyDescent="0.25">
      <c r="T293" s="22"/>
      <c r="U293" s="22"/>
    </row>
    <row r="294" spans="20:21" x14ac:dyDescent="0.25">
      <c r="T294" s="22"/>
      <c r="U294" s="22"/>
    </row>
    <row r="295" spans="20:21" x14ac:dyDescent="0.25">
      <c r="T295" s="22"/>
      <c r="U295" s="22"/>
    </row>
    <row r="296" spans="20:21" x14ac:dyDescent="0.25">
      <c r="T296" s="22"/>
      <c r="U296" s="22"/>
    </row>
    <row r="297" spans="20:21" x14ac:dyDescent="0.25">
      <c r="T297" s="22"/>
      <c r="U297" s="22"/>
    </row>
    <row r="298" spans="20:21" x14ac:dyDescent="0.25">
      <c r="T298" s="22"/>
      <c r="U298" s="22"/>
    </row>
    <row r="299" spans="20:21" x14ac:dyDescent="0.25">
      <c r="T299" s="22"/>
      <c r="U299" s="22"/>
    </row>
    <row r="300" spans="20:21" x14ac:dyDescent="0.25">
      <c r="T300" s="22"/>
      <c r="U300" s="22"/>
    </row>
    <row r="301" spans="20:21" x14ac:dyDescent="0.25">
      <c r="T301" s="22"/>
      <c r="U301" s="22"/>
    </row>
    <row r="302" spans="20:21" x14ac:dyDescent="0.25">
      <c r="T302" s="22"/>
      <c r="U302" s="22"/>
    </row>
    <row r="303" spans="20:21" x14ac:dyDescent="0.25">
      <c r="T303" s="22"/>
      <c r="U303" s="22"/>
    </row>
    <row r="304" spans="20:21" x14ac:dyDescent="0.25">
      <c r="T304" s="22"/>
      <c r="U304" s="22"/>
    </row>
    <row r="305" spans="20:21" x14ac:dyDescent="0.25">
      <c r="T305" s="22"/>
      <c r="U305" s="22"/>
    </row>
    <row r="306" spans="20:21" x14ac:dyDescent="0.25">
      <c r="T306" s="22"/>
      <c r="U306" s="22"/>
    </row>
    <row r="307" spans="20:21" x14ac:dyDescent="0.25">
      <c r="T307" s="22"/>
      <c r="U307" s="22"/>
    </row>
    <row r="308" spans="20:21" x14ac:dyDescent="0.25">
      <c r="T308" s="22"/>
      <c r="U308" s="22"/>
    </row>
    <row r="309" spans="20:21" x14ac:dyDescent="0.25">
      <c r="T309" s="22"/>
      <c r="U309" s="22"/>
    </row>
    <row r="310" spans="20:21" x14ac:dyDescent="0.25">
      <c r="T310" s="22"/>
      <c r="U310" s="22"/>
    </row>
    <row r="311" spans="20:21" x14ac:dyDescent="0.25">
      <c r="T311" s="22"/>
      <c r="U311" s="22"/>
    </row>
    <row r="312" spans="20:21" x14ac:dyDescent="0.25">
      <c r="T312" s="22"/>
      <c r="U312" s="22"/>
    </row>
    <row r="313" spans="20:21" x14ac:dyDescent="0.25">
      <c r="T313" s="22"/>
      <c r="U313" s="22"/>
    </row>
    <row r="314" spans="20:21" x14ac:dyDescent="0.25">
      <c r="T314" s="22"/>
      <c r="U314" s="22"/>
    </row>
    <row r="315" spans="20:21" x14ac:dyDescent="0.25">
      <c r="T315" s="22"/>
      <c r="U315" s="22"/>
    </row>
    <row r="316" spans="20:21" x14ac:dyDescent="0.25">
      <c r="T316" s="22"/>
      <c r="U316" s="22"/>
    </row>
    <row r="317" spans="20:21" x14ac:dyDescent="0.25">
      <c r="T317" s="22"/>
      <c r="U317" s="22"/>
    </row>
    <row r="318" spans="20:21" x14ac:dyDescent="0.25">
      <c r="T318" s="22"/>
      <c r="U318" s="22"/>
    </row>
    <row r="319" spans="20:21" x14ac:dyDescent="0.25">
      <c r="T319" s="22"/>
      <c r="U319" s="22"/>
    </row>
    <row r="320" spans="20:21" x14ac:dyDescent="0.25">
      <c r="T320" s="22"/>
      <c r="U320" s="22"/>
    </row>
    <row r="321" spans="20:21" x14ac:dyDescent="0.25">
      <c r="T321" s="22"/>
      <c r="U321" s="22"/>
    </row>
    <row r="322" spans="20:21" x14ac:dyDescent="0.25">
      <c r="T322" s="22"/>
      <c r="U322" s="22"/>
    </row>
    <row r="323" spans="20:21" x14ac:dyDescent="0.25">
      <c r="T323" s="22"/>
      <c r="U323" s="22"/>
    </row>
    <row r="324" spans="20:21" x14ac:dyDescent="0.25">
      <c r="T324" s="22"/>
      <c r="U324" s="22"/>
    </row>
    <row r="325" spans="20:21" x14ac:dyDescent="0.25">
      <c r="T325" s="22"/>
      <c r="U325" s="22"/>
    </row>
    <row r="326" spans="20:21" x14ac:dyDescent="0.25">
      <c r="T326" s="22"/>
      <c r="U326" s="22"/>
    </row>
    <row r="327" spans="20:21" x14ac:dyDescent="0.25">
      <c r="T327" s="22"/>
      <c r="U327" s="22"/>
    </row>
    <row r="328" spans="20:21" x14ac:dyDescent="0.25">
      <c r="T328" s="22"/>
      <c r="U328" s="22"/>
    </row>
    <row r="329" spans="20:21" x14ac:dyDescent="0.25">
      <c r="T329" s="22"/>
      <c r="U329" s="22"/>
    </row>
    <row r="330" spans="20:21" x14ac:dyDescent="0.25">
      <c r="T330" s="22"/>
      <c r="U330" s="22"/>
    </row>
    <row r="331" spans="20:21" x14ac:dyDescent="0.25">
      <c r="T331" s="22"/>
      <c r="U331" s="22"/>
    </row>
    <row r="332" spans="20:21" x14ac:dyDescent="0.25">
      <c r="T332" s="22"/>
      <c r="U332" s="22"/>
    </row>
    <row r="333" spans="20:21" x14ac:dyDescent="0.25">
      <c r="T333" s="22"/>
      <c r="U333" s="22"/>
    </row>
    <row r="334" spans="20:21" x14ac:dyDescent="0.25">
      <c r="T334" s="22"/>
      <c r="U334" s="22"/>
    </row>
    <row r="335" spans="20:21" x14ac:dyDescent="0.25">
      <c r="T335" s="22"/>
      <c r="U335" s="22"/>
    </row>
    <row r="336" spans="20:21" x14ac:dyDescent="0.25">
      <c r="T336" s="22"/>
      <c r="U336" s="22"/>
    </row>
    <row r="337" spans="20:21" x14ac:dyDescent="0.25">
      <c r="T337" s="22"/>
      <c r="U337" s="22"/>
    </row>
    <row r="338" spans="20:21" x14ac:dyDescent="0.25">
      <c r="T338" s="22"/>
      <c r="U338" s="22"/>
    </row>
    <row r="339" spans="20:21" x14ac:dyDescent="0.25">
      <c r="T339" s="22"/>
      <c r="U339" s="22"/>
    </row>
    <row r="340" spans="20:21" x14ac:dyDescent="0.25">
      <c r="T340" s="22"/>
      <c r="U340" s="22"/>
    </row>
    <row r="341" spans="20:21" x14ac:dyDescent="0.25">
      <c r="T341" s="22"/>
      <c r="U341" s="22"/>
    </row>
    <row r="342" spans="20:21" x14ac:dyDescent="0.25">
      <c r="T342" s="22"/>
      <c r="U342" s="22"/>
    </row>
    <row r="343" spans="20:21" x14ac:dyDescent="0.25">
      <c r="T343" s="22"/>
      <c r="U343" s="22"/>
    </row>
    <row r="344" spans="20:21" x14ac:dyDescent="0.25">
      <c r="T344" s="22"/>
      <c r="U344" s="22"/>
    </row>
    <row r="345" spans="20:21" x14ac:dyDescent="0.25">
      <c r="T345" s="22"/>
      <c r="U345" s="22"/>
    </row>
    <row r="346" spans="20:21" x14ac:dyDescent="0.25">
      <c r="T346" s="22"/>
      <c r="U346" s="22"/>
    </row>
    <row r="347" spans="20:21" x14ac:dyDescent="0.25">
      <c r="T347" s="22"/>
      <c r="U347" s="22"/>
    </row>
    <row r="348" spans="20:21" x14ac:dyDescent="0.25">
      <c r="T348" s="22"/>
      <c r="U348" s="22"/>
    </row>
    <row r="349" spans="20:21" x14ac:dyDescent="0.25">
      <c r="T349" s="22"/>
      <c r="U349" s="22"/>
    </row>
    <row r="350" spans="20:21" x14ac:dyDescent="0.25">
      <c r="T350" s="22"/>
      <c r="U350" s="22"/>
    </row>
    <row r="351" spans="20:21" x14ac:dyDescent="0.25">
      <c r="T351" s="22"/>
      <c r="U351" s="22"/>
    </row>
    <row r="352" spans="20:21" x14ac:dyDescent="0.25">
      <c r="T352" s="22"/>
      <c r="U352" s="22"/>
    </row>
    <row r="353" spans="20:21" x14ac:dyDescent="0.25">
      <c r="T353" s="22"/>
      <c r="U353" s="22"/>
    </row>
    <row r="354" spans="20:21" x14ac:dyDescent="0.25">
      <c r="T354" s="22"/>
      <c r="U354" s="22"/>
    </row>
    <row r="355" spans="20:21" x14ac:dyDescent="0.25">
      <c r="T355" s="22"/>
      <c r="U355" s="22"/>
    </row>
    <row r="356" spans="20:21" x14ac:dyDescent="0.25">
      <c r="T356" s="22"/>
      <c r="U356" s="22"/>
    </row>
    <row r="357" spans="20:21" x14ac:dyDescent="0.25">
      <c r="T357" s="22"/>
      <c r="U357" s="22"/>
    </row>
    <row r="358" spans="20:21" x14ac:dyDescent="0.25">
      <c r="T358" s="22"/>
      <c r="U358" s="22"/>
    </row>
    <row r="359" spans="20:21" x14ac:dyDescent="0.25">
      <c r="T359" s="22"/>
      <c r="U359" s="22"/>
    </row>
    <row r="360" spans="20:21" x14ac:dyDescent="0.25">
      <c r="T360" s="22"/>
      <c r="U360" s="22"/>
    </row>
    <row r="361" spans="20:21" x14ac:dyDescent="0.25">
      <c r="T361" s="22"/>
      <c r="U361" s="22"/>
    </row>
    <row r="362" spans="20:21" x14ac:dyDescent="0.25">
      <c r="T362" s="22"/>
      <c r="U362" s="22"/>
    </row>
    <row r="363" spans="20:21" x14ac:dyDescent="0.25">
      <c r="T363" s="22"/>
      <c r="U363" s="22"/>
    </row>
    <row r="364" spans="20:21" x14ac:dyDescent="0.25">
      <c r="T364" s="22"/>
      <c r="U364" s="22"/>
    </row>
    <row r="365" spans="20:21" x14ac:dyDescent="0.25">
      <c r="T365" s="22"/>
      <c r="U365" s="22"/>
    </row>
    <row r="366" spans="20:21" x14ac:dyDescent="0.25">
      <c r="T366" s="22"/>
      <c r="U366" s="22"/>
    </row>
    <row r="367" spans="20:21" x14ac:dyDescent="0.25">
      <c r="T367" s="22"/>
      <c r="U367" s="22"/>
    </row>
    <row r="368" spans="20:21" x14ac:dyDescent="0.25">
      <c r="T368" s="22"/>
      <c r="U368" s="22"/>
    </row>
    <row r="369" spans="20:21" x14ac:dyDescent="0.25">
      <c r="T369" s="22"/>
      <c r="U369" s="22"/>
    </row>
    <row r="370" spans="20:21" x14ac:dyDescent="0.25">
      <c r="T370" s="22"/>
      <c r="U370" s="22"/>
    </row>
    <row r="371" spans="20:21" x14ac:dyDescent="0.25">
      <c r="T371" s="22"/>
      <c r="U371" s="22"/>
    </row>
    <row r="372" spans="20:21" x14ac:dyDescent="0.25">
      <c r="T372" s="22"/>
      <c r="U372" s="22"/>
    </row>
    <row r="373" spans="20:21" x14ac:dyDescent="0.25">
      <c r="T373" s="22"/>
      <c r="U373" s="22"/>
    </row>
    <row r="374" spans="20:21" x14ac:dyDescent="0.25">
      <c r="T374" s="22"/>
      <c r="U374" s="22"/>
    </row>
    <row r="375" spans="20:21" x14ac:dyDescent="0.25">
      <c r="T375" s="22"/>
      <c r="U375" s="22"/>
    </row>
    <row r="376" spans="20:21" x14ac:dyDescent="0.25">
      <c r="T376" s="22"/>
      <c r="U376" s="22"/>
    </row>
    <row r="377" spans="20:21" x14ac:dyDescent="0.25">
      <c r="T377" s="22"/>
      <c r="U377" s="22"/>
    </row>
    <row r="378" spans="20:21" x14ac:dyDescent="0.25">
      <c r="T378" s="22"/>
      <c r="U378" s="22"/>
    </row>
    <row r="379" spans="20:21" x14ac:dyDescent="0.25">
      <c r="T379" s="22"/>
      <c r="U379" s="22"/>
    </row>
    <row r="380" spans="20:21" x14ac:dyDescent="0.25">
      <c r="T380" s="22"/>
      <c r="U380" s="22"/>
    </row>
    <row r="381" spans="20:21" x14ac:dyDescent="0.25">
      <c r="T381" s="22"/>
      <c r="U381" s="22"/>
    </row>
    <row r="382" spans="20:21" x14ac:dyDescent="0.25">
      <c r="T382" s="22"/>
      <c r="U382" s="22"/>
    </row>
    <row r="383" spans="20:21" x14ac:dyDescent="0.25">
      <c r="T383" s="22"/>
      <c r="U383" s="22"/>
    </row>
    <row r="384" spans="20:21" x14ac:dyDescent="0.25">
      <c r="T384" s="22"/>
      <c r="U384" s="22"/>
    </row>
    <row r="385" spans="20:21" x14ac:dyDescent="0.25">
      <c r="T385" s="22"/>
      <c r="U385" s="22"/>
    </row>
    <row r="386" spans="20:21" x14ac:dyDescent="0.25">
      <c r="T386" s="22"/>
      <c r="U386" s="22"/>
    </row>
    <row r="387" spans="20:21" x14ac:dyDescent="0.25">
      <c r="T387" s="22"/>
      <c r="U387" s="22"/>
    </row>
    <row r="388" spans="20:21" x14ac:dyDescent="0.25">
      <c r="T388" s="22"/>
      <c r="U388" s="22"/>
    </row>
    <row r="389" spans="20:21" x14ac:dyDescent="0.25">
      <c r="T389" s="22"/>
      <c r="U389" s="22"/>
    </row>
    <row r="390" spans="20:21" x14ac:dyDescent="0.25">
      <c r="T390" s="22"/>
      <c r="U390" s="22"/>
    </row>
    <row r="391" spans="20:21" x14ac:dyDescent="0.25">
      <c r="T391" s="22"/>
      <c r="U391" s="22"/>
    </row>
    <row r="392" spans="20:21" x14ac:dyDescent="0.25">
      <c r="T392" s="22"/>
      <c r="U392" s="22"/>
    </row>
    <row r="393" spans="20:21" x14ac:dyDescent="0.25">
      <c r="T393" s="22"/>
      <c r="U393" s="22"/>
    </row>
    <row r="394" spans="20:21" x14ac:dyDescent="0.25">
      <c r="T394" s="22"/>
      <c r="U394" s="22"/>
    </row>
    <row r="395" spans="20:21" x14ac:dyDescent="0.25">
      <c r="T395" s="22"/>
      <c r="U395" s="22"/>
    </row>
    <row r="396" spans="20:21" x14ac:dyDescent="0.25">
      <c r="T396" s="22"/>
      <c r="U396" s="22"/>
    </row>
    <row r="397" spans="20:21" x14ac:dyDescent="0.25">
      <c r="T397" s="22"/>
      <c r="U397" s="22"/>
    </row>
    <row r="398" spans="20:21" x14ac:dyDescent="0.25">
      <c r="T398" s="22"/>
      <c r="U398" s="22"/>
    </row>
    <row r="399" spans="20:21" x14ac:dyDescent="0.25">
      <c r="T399" s="22"/>
      <c r="U399" s="22"/>
    </row>
    <row r="400" spans="20:21" x14ac:dyDescent="0.25">
      <c r="T400" s="22"/>
      <c r="U400" s="22"/>
    </row>
    <row r="401" spans="20:21" x14ac:dyDescent="0.25">
      <c r="T401" s="22"/>
      <c r="U401" s="22"/>
    </row>
    <row r="402" spans="20:21" x14ac:dyDescent="0.25">
      <c r="T402" s="22"/>
      <c r="U402" s="22"/>
    </row>
    <row r="403" spans="20:21" x14ac:dyDescent="0.25">
      <c r="T403" s="22"/>
      <c r="U403" s="22"/>
    </row>
    <row r="404" spans="20:21" x14ac:dyDescent="0.25">
      <c r="T404" s="22"/>
      <c r="U404" s="22"/>
    </row>
    <row r="405" spans="20:21" x14ac:dyDescent="0.25">
      <c r="T405" s="22"/>
      <c r="U405" s="22"/>
    </row>
    <row r="406" spans="20:21" x14ac:dyDescent="0.25">
      <c r="T406" s="22"/>
      <c r="U406" s="22"/>
    </row>
    <row r="407" spans="20:21" x14ac:dyDescent="0.25">
      <c r="T407" s="22"/>
      <c r="U407" s="22"/>
    </row>
    <row r="408" spans="20:21" x14ac:dyDescent="0.25">
      <c r="T408" s="22"/>
      <c r="U408" s="22"/>
    </row>
    <row r="409" spans="20:21" x14ac:dyDescent="0.25">
      <c r="T409" s="22"/>
      <c r="U409" s="22"/>
    </row>
    <row r="410" spans="20:21" x14ac:dyDescent="0.25">
      <c r="T410" s="22"/>
      <c r="U410" s="22"/>
    </row>
    <row r="411" spans="20:21" x14ac:dyDescent="0.25">
      <c r="T411" s="22"/>
      <c r="U411" s="22"/>
    </row>
    <row r="412" spans="20:21" x14ac:dyDescent="0.25">
      <c r="T412" s="22"/>
      <c r="U412" s="22"/>
    </row>
    <row r="413" spans="20:21" x14ac:dyDescent="0.25">
      <c r="T413" s="22"/>
      <c r="U413" s="22"/>
    </row>
    <row r="414" spans="20:21" x14ac:dyDescent="0.25">
      <c r="T414" s="22"/>
      <c r="U414" s="22"/>
    </row>
    <row r="415" spans="20:21" x14ac:dyDescent="0.25">
      <c r="T415" s="22"/>
      <c r="U415" s="22"/>
    </row>
    <row r="416" spans="20:21" x14ac:dyDescent="0.25">
      <c r="T416" s="22"/>
      <c r="U416" s="22"/>
    </row>
    <row r="417" spans="20:21" x14ac:dyDescent="0.25">
      <c r="T417" s="22"/>
      <c r="U417" s="22"/>
    </row>
    <row r="418" spans="20:21" x14ac:dyDescent="0.25">
      <c r="T418" s="22"/>
      <c r="U418" s="22"/>
    </row>
    <row r="419" spans="20:21" x14ac:dyDescent="0.25">
      <c r="T419" s="22"/>
      <c r="U419" s="22"/>
    </row>
    <row r="420" spans="20:21" x14ac:dyDescent="0.25">
      <c r="T420" s="22"/>
      <c r="U420" s="22"/>
    </row>
    <row r="421" spans="20:21" x14ac:dyDescent="0.25">
      <c r="T421" s="22"/>
      <c r="U421" s="22"/>
    </row>
    <row r="422" spans="20:21" x14ac:dyDescent="0.25">
      <c r="T422" s="22"/>
      <c r="U422" s="22"/>
    </row>
    <row r="423" spans="20:21" x14ac:dyDescent="0.25">
      <c r="T423" s="22"/>
      <c r="U423" s="22"/>
    </row>
    <row r="424" spans="20:21" x14ac:dyDescent="0.25">
      <c r="T424" s="22"/>
      <c r="U424" s="22"/>
    </row>
    <row r="425" spans="20:21" x14ac:dyDescent="0.25">
      <c r="T425" s="22"/>
      <c r="U425" s="22"/>
    </row>
    <row r="426" spans="20:21" x14ac:dyDescent="0.25">
      <c r="T426" s="22"/>
      <c r="U426" s="22"/>
    </row>
    <row r="427" spans="20:21" x14ac:dyDescent="0.25">
      <c r="T427" s="22"/>
      <c r="U427" s="22"/>
    </row>
    <row r="428" spans="20:21" x14ac:dyDescent="0.25">
      <c r="T428" s="22"/>
      <c r="U428" s="22"/>
    </row>
    <row r="429" spans="20:21" x14ac:dyDescent="0.25">
      <c r="T429" s="22"/>
      <c r="U429" s="22"/>
    </row>
    <row r="430" spans="20:21" x14ac:dyDescent="0.25">
      <c r="T430" s="22"/>
      <c r="U430" s="22"/>
    </row>
    <row r="431" spans="20:21" x14ac:dyDescent="0.25">
      <c r="T431" s="22"/>
      <c r="U431" s="22"/>
    </row>
    <row r="432" spans="20:21" x14ac:dyDescent="0.25">
      <c r="T432" s="22"/>
      <c r="U432" s="22"/>
    </row>
    <row r="433" spans="20:21" x14ac:dyDescent="0.25">
      <c r="T433" s="22"/>
      <c r="U433" s="22"/>
    </row>
    <row r="434" spans="20:21" x14ac:dyDescent="0.25">
      <c r="T434" s="22"/>
      <c r="U434" s="22"/>
    </row>
    <row r="435" spans="20:21" x14ac:dyDescent="0.25">
      <c r="T435" s="22"/>
      <c r="U435" s="22"/>
    </row>
    <row r="436" spans="20:21" x14ac:dyDescent="0.25">
      <c r="T436" s="22"/>
      <c r="U436" s="22"/>
    </row>
    <row r="437" spans="20:21" x14ac:dyDescent="0.25">
      <c r="T437" s="22"/>
      <c r="U437" s="22"/>
    </row>
    <row r="438" spans="20:21" x14ac:dyDescent="0.25">
      <c r="T438" s="22"/>
      <c r="U438" s="22"/>
    </row>
    <row r="439" spans="20:21" x14ac:dyDescent="0.25">
      <c r="T439" s="22"/>
      <c r="U439" s="22"/>
    </row>
    <row r="440" spans="20:21" x14ac:dyDescent="0.25">
      <c r="T440" s="22"/>
      <c r="U440" s="22"/>
    </row>
    <row r="441" spans="20:21" x14ac:dyDescent="0.25">
      <c r="T441" s="22"/>
      <c r="U441" s="22"/>
    </row>
    <row r="442" spans="20:21" x14ac:dyDescent="0.25">
      <c r="T442" s="22"/>
      <c r="U442" s="22"/>
    </row>
    <row r="443" spans="20:21" x14ac:dyDescent="0.25">
      <c r="T443" s="22"/>
      <c r="U443" s="22"/>
    </row>
    <row r="444" spans="20:21" x14ac:dyDescent="0.25">
      <c r="T444" s="22"/>
      <c r="U444" s="22"/>
    </row>
    <row r="445" spans="20:21" x14ac:dyDescent="0.25">
      <c r="T445" s="22"/>
      <c r="U445" s="22"/>
    </row>
    <row r="446" spans="20:21" x14ac:dyDescent="0.25">
      <c r="T446" s="22"/>
      <c r="U446" s="22"/>
    </row>
    <row r="447" spans="20:21" x14ac:dyDescent="0.25">
      <c r="T447" s="22"/>
      <c r="U447" s="22"/>
    </row>
    <row r="448" spans="20:21" x14ac:dyDescent="0.25">
      <c r="T448" s="22"/>
      <c r="U448" s="22"/>
    </row>
    <row r="449" spans="20:21" x14ac:dyDescent="0.25">
      <c r="T449" s="22"/>
      <c r="U449" s="22"/>
    </row>
    <row r="450" spans="20:21" x14ac:dyDescent="0.25">
      <c r="T450" s="22"/>
      <c r="U450" s="22"/>
    </row>
    <row r="451" spans="20:21" x14ac:dyDescent="0.25">
      <c r="T451" s="22"/>
      <c r="U451" s="22"/>
    </row>
    <row r="452" spans="20:21" x14ac:dyDescent="0.25">
      <c r="T452" s="22"/>
      <c r="U452" s="22"/>
    </row>
    <row r="453" spans="20:21" x14ac:dyDescent="0.25">
      <c r="T453" s="22"/>
      <c r="U453" s="22"/>
    </row>
    <row r="454" spans="20:21" x14ac:dyDescent="0.25">
      <c r="T454" s="22"/>
      <c r="U454" s="22"/>
    </row>
    <row r="455" spans="20:21" x14ac:dyDescent="0.25">
      <c r="T455" s="22"/>
      <c r="U455" s="22"/>
    </row>
    <row r="456" spans="20:21" x14ac:dyDescent="0.25">
      <c r="T456" s="22"/>
      <c r="U456" s="22"/>
    </row>
    <row r="457" spans="20:21" x14ac:dyDescent="0.25">
      <c r="T457" s="22"/>
      <c r="U457" s="22"/>
    </row>
    <row r="458" spans="20:21" x14ac:dyDescent="0.25">
      <c r="T458" s="22"/>
      <c r="U458" s="22"/>
    </row>
    <row r="459" spans="20:21" x14ac:dyDescent="0.25">
      <c r="T459" s="22"/>
      <c r="U459" s="22"/>
    </row>
    <row r="460" spans="20:21" x14ac:dyDescent="0.25">
      <c r="T460" s="22"/>
      <c r="U460" s="22"/>
    </row>
    <row r="461" spans="20:21" x14ac:dyDescent="0.25">
      <c r="T461" s="22"/>
      <c r="U461" s="22"/>
    </row>
    <row r="462" spans="20:21" x14ac:dyDescent="0.25">
      <c r="T462" s="22"/>
      <c r="U462" s="22"/>
    </row>
    <row r="463" spans="20:21" x14ac:dyDescent="0.25">
      <c r="T463" s="22"/>
      <c r="U463" s="22"/>
    </row>
    <row r="464" spans="20:21" x14ac:dyDescent="0.25">
      <c r="T464" s="22"/>
      <c r="U464" s="22"/>
    </row>
    <row r="465" spans="20:21" x14ac:dyDescent="0.25">
      <c r="T465" s="22"/>
      <c r="U465" s="22"/>
    </row>
    <row r="466" spans="20:21" x14ac:dyDescent="0.25">
      <c r="T466" s="22"/>
      <c r="U466" s="22"/>
    </row>
    <row r="467" spans="20:21" x14ac:dyDescent="0.25">
      <c r="T467" s="22"/>
      <c r="U467" s="22"/>
    </row>
    <row r="468" spans="20:21" x14ac:dyDescent="0.25">
      <c r="T468" s="22"/>
      <c r="U468" s="22"/>
    </row>
    <row r="469" spans="20:21" x14ac:dyDescent="0.25">
      <c r="T469" s="22"/>
      <c r="U469" s="22"/>
    </row>
    <row r="470" spans="20:21" x14ac:dyDescent="0.25">
      <c r="T470" s="22"/>
      <c r="U470" s="22"/>
    </row>
    <row r="471" spans="20:21" x14ac:dyDescent="0.25">
      <c r="T471" s="22"/>
      <c r="U471" s="22"/>
    </row>
    <row r="472" spans="20:21" x14ac:dyDescent="0.25">
      <c r="T472" s="22"/>
      <c r="U472" s="22"/>
    </row>
    <row r="473" spans="20:21" x14ac:dyDescent="0.25">
      <c r="T473" s="22"/>
      <c r="U473" s="22"/>
    </row>
    <row r="474" spans="20:21" x14ac:dyDescent="0.25">
      <c r="T474" s="22"/>
      <c r="U474" s="22"/>
    </row>
    <row r="475" spans="20:21" x14ac:dyDescent="0.25">
      <c r="T475" s="22"/>
      <c r="U475" s="22"/>
    </row>
    <row r="476" spans="20:21" x14ac:dyDescent="0.25">
      <c r="T476" s="22"/>
      <c r="U476" s="22"/>
    </row>
    <row r="477" spans="20:21" x14ac:dyDescent="0.25">
      <c r="T477" s="22"/>
      <c r="U477" s="22"/>
    </row>
    <row r="478" spans="20:21" x14ac:dyDescent="0.25">
      <c r="T478" s="22"/>
      <c r="U478" s="22"/>
    </row>
    <row r="479" spans="20:21" x14ac:dyDescent="0.25">
      <c r="T479" s="22"/>
      <c r="U479" s="22"/>
    </row>
    <row r="480" spans="20:21" x14ac:dyDescent="0.25">
      <c r="T480" s="22"/>
      <c r="U480" s="22"/>
    </row>
    <row r="481" spans="20:21" x14ac:dyDescent="0.25">
      <c r="T481" s="22"/>
      <c r="U481" s="22"/>
    </row>
    <row r="482" spans="20:21" x14ac:dyDescent="0.25">
      <c r="T482" s="22"/>
      <c r="U482" s="22"/>
    </row>
    <row r="483" spans="20:21" x14ac:dyDescent="0.25">
      <c r="T483" s="22"/>
      <c r="U483" s="22"/>
    </row>
    <row r="484" spans="20:21" x14ac:dyDescent="0.25">
      <c r="T484" s="22"/>
      <c r="U484" s="22"/>
    </row>
    <row r="485" spans="20:21" x14ac:dyDescent="0.25">
      <c r="T485" s="22"/>
      <c r="U485" s="22"/>
    </row>
    <row r="486" spans="20:21" x14ac:dyDescent="0.25">
      <c r="T486" s="22"/>
      <c r="U486" s="22"/>
    </row>
    <row r="487" spans="20:21" x14ac:dyDescent="0.25">
      <c r="T487" s="22"/>
      <c r="U487" s="22"/>
    </row>
    <row r="488" spans="20:21" x14ac:dyDescent="0.25">
      <c r="T488" s="22"/>
      <c r="U488" s="22"/>
    </row>
    <row r="489" spans="20:21" x14ac:dyDescent="0.25">
      <c r="T489" s="22"/>
      <c r="U489" s="22"/>
    </row>
    <row r="490" spans="20:21" x14ac:dyDescent="0.25">
      <c r="T490" s="22"/>
      <c r="U490" s="22"/>
    </row>
    <row r="491" spans="20:21" x14ac:dyDescent="0.25">
      <c r="T491" s="22"/>
      <c r="U491" s="22"/>
    </row>
    <row r="492" spans="20:21" x14ac:dyDescent="0.25">
      <c r="T492" s="22"/>
      <c r="U492" s="22"/>
    </row>
    <row r="493" spans="20:21" x14ac:dyDescent="0.25">
      <c r="T493" s="22"/>
      <c r="U493" s="22"/>
    </row>
    <row r="494" spans="20:21" x14ac:dyDescent="0.25">
      <c r="T494" s="22"/>
      <c r="U494" s="22"/>
    </row>
    <row r="495" spans="20:21" x14ac:dyDescent="0.25">
      <c r="T495" s="22"/>
      <c r="U495" s="22"/>
    </row>
    <row r="496" spans="20:21" x14ac:dyDescent="0.25">
      <c r="T496" s="22"/>
      <c r="U496" s="22"/>
    </row>
    <row r="497" spans="20:21" x14ac:dyDescent="0.25">
      <c r="T497" s="22"/>
      <c r="U497" s="22"/>
    </row>
    <row r="498" spans="20:21" x14ac:dyDescent="0.25">
      <c r="T498" s="22"/>
      <c r="U498" s="22"/>
    </row>
    <row r="499" spans="20:21" x14ac:dyDescent="0.25">
      <c r="T499" s="22"/>
      <c r="U499" s="22"/>
    </row>
    <row r="500" spans="20:21" x14ac:dyDescent="0.25">
      <c r="T500" s="22"/>
      <c r="U500" s="22"/>
    </row>
    <row r="501" spans="20:21" x14ac:dyDescent="0.25">
      <c r="T501" s="22"/>
      <c r="U501" s="22"/>
    </row>
    <row r="502" spans="20:21" x14ac:dyDescent="0.25">
      <c r="T502" s="22"/>
      <c r="U502" s="22"/>
    </row>
    <row r="503" spans="20:21" x14ac:dyDescent="0.25">
      <c r="T503" s="22"/>
      <c r="U503" s="22"/>
    </row>
    <row r="504" spans="20:21" x14ac:dyDescent="0.25">
      <c r="T504" s="22"/>
      <c r="U504" s="22"/>
    </row>
    <row r="505" spans="20:21" x14ac:dyDescent="0.25">
      <c r="T505" s="22"/>
      <c r="U505" s="22"/>
    </row>
    <row r="506" spans="20:21" x14ac:dyDescent="0.25">
      <c r="T506" s="22"/>
      <c r="U506" s="22"/>
    </row>
    <row r="507" spans="20:21" x14ac:dyDescent="0.25">
      <c r="T507" s="22"/>
      <c r="U507" s="22"/>
    </row>
    <row r="508" spans="20:21" x14ac:dyDescent="0.25">
      <c r="T508" s="22"/>
      <c r="U508" s="22"/>
    </row>
    <row r="509" spans="20:21" x14ac:dyDescent="0.25">
      <c r="T509" s="22"/>
      <c r="U509" s="22"/>
    </row>
    <row r="510" spans="20:21" x14ac:dyDescent="0.25">
      <c r="T510" s="22"/>
      <c r="U510" s="22"/>
    </row>
    <row r="511" spans="20:21" x14ac:dyDescent="0.25">
      <c r="T511" s="22"/>
      <c r="U511" s="22"/>
    </row>
    <row r="512" spans="20:21" x14ac:dyDescent="0.25">
      <c r="T512" s="22"/>
      <c r="U512" s="22"/>
    </row>
    <row r="513" spans="20:21" x14ac:dyDescent="0.25">
      <c r="T513" s="22"/>
      <c r="U513" s="22"/>
    </row>
    <row r="514" spans="20:21" x14ac:dyDescent="0.25">
      <c r="T514" s="22"/>
      <c r="U514" s="22"/>
    </row>
    <row r="515" spans="20:21" x14ac:dyDescent="0.25">
      <c r="T515" s="22"/>
      <c r="U515" s="22"/>
    </row>
    <row r="516" spans="20:21" x14ac:dyDescent="0.25">
      <c r="T516" s="22"/>
      <c r="U516" s="22"/>
    </row>
    <row r="517" spans="20:21" x14ac:dyDescent="0.25">
      <c r="T517" s="22"/>
      <c r="U517" s="22"/>
    </row>
    <row r="518" spans="20:21" x14ac:dyDescent="0.25">
      <c r="T518" s="22"/>
      <c r="U518" s="22"/>
    </row>
    <row r="519" spans="20:21" x14ac:dyDescent="0.25">
      <c r="T519" s="22"/>
      <c r="U519" s="22"/>
    </row>
    <row r="520" spans="20:21" x14ac:dyDescent="0.25">
      <c r="T520" s="22"/>
      <c r="U520" s="22"/>
    </row>
    <row r="521" spans="20:21" x14ac:dyDescent="0.25">
      <c r="T521" s="22"/>
      <c r="U521" s="22"/>
    </row>
    <row r="522" spans="20:21" x14ac:dyDescent="0.25">
      <c r="T522" s="22"/>
      <c r="U522" s="22"/>
    </row>
    <row r="523" spans="20:21" x14ac:dyDescent="0.25">
      <c r="T523" s="22"/>
      <c r="U523" s="22"/>
    </row>
    <row r="524" spans="20:21" x14ac:dyDescent="0.25">
      <c r="T524" s="22"/>
      <c r="U524" s="22"/>
    </row>
    <row r="525" spans="20:21" x14ac:dyDescent="0.25">
      <c r="T525" s="22"/>
      <c r="U525" s="22"/>
    </row>
    <row r="526" spans="20:21" x14ac:dyDescent="0.25">
      <c r="T526" s="22"/>
      <c r="U526" s="22"/>
    </row>
    <row r="527" spans="20:21" x14ac:dyDescent="0.25">
      <c r="T527" s="22"/>
      <c r="U527" s="22"/>
    </row>
    <row r="528" spans="20:21" x14ac:dyDescent="0.25">
      <c r="T528" s="22"/>
      <c r="U528" s="22"/>
    </row>
    <row r="529" spans="20:21" x14ac:dyDescent="0.25">
      <c r="T529" s="22"/>
      <c r="U529" s="22"/>
    </row>
    <row r="530" spans="20:21" x14ac:dyDescent="0.25">
      <c r="T530" s="22"/>
      <c r="U530" s="22"/>
    </row>
    <row r="531" spans="20:21" x14ac:dyDescent="0.25">
      <c r="T531" s="22"/>
      <c r="U531" s="22"/>
    </row>
    <row r="532" spans="20:21" x14ac:dyDescent="0.25">
      <c r="T532" s="22"/>
      <c r="U532" s="22"/>
    </row>
    <row r="533" spans="20:21" x14ac:dyDescent="0.25">
      <c r="T533" s="22"/>
      <c r="U533" s="22"/>
    </row>
    <row r="534" spans="20:21" x14ac:dyDescent="0.25">
      <c r="T534" s="22"/>
      <c r="U534" s="22"/>
    </row>
    <row r="535" spans="20:21" x14ac:dyDescent="0.25">
      <c r="T535" s="22"/>
      <c r="U535" s="22"/>
    </row>
    <row r="536" spans="20:21" x14ac:dyDescent="0.25">
      <c r="T536" s="22"/>
      <c r="U536" s="22"/>
    </row>
    <row r="537" spans="20:21" x14ac:dyDescent="0.25">
      <c r="T537" s="22"/>
      <c r="U537" s="22"/>
    </row>
    <row r="538" spans="20:21" x14ac:dyDescent="0.25">
      <c r="T538" s="22"/>
      <c r="U538" s="22"/>
    </row>
    <row r="539" spans="20:21" x14ac:dyDescent="0.25">
      <c r="T539" s="22"/>
      <c r="U539" s="22"/>
    </row>
    <row r="540" spans="20:21" x14ac:dyDescent="0.25">
      <c r="T540" s="22"/>
      <c r="U540" s="22"/>
    </row>
    <row r="541" spans="20:21" x14ac:dyDescent="0.25">
      <c r="T541" s="22"/>
      <c r="U541" s="22"/>
    </row>
    <row r="542" spans="20:21" x14ac:dyDescent="0.25">
      <c r="T542" s="22"/>
      <c r="U542" s="22"/>
    </row>
    <row r="543" spans="20:21" x14ac:dyDescent="0.25">
      <c r="T543" s="22"/>
      <c r="U543" s="22"/>
    </row>
    <row r="544" spans="20:21" x14ac:dyDescent="0.25">
      <c r="T544" s="22"/>
      <c r="U544" s="22"/>
    </row>
    <row r="545" spans="4:21" x14ac:dyDescent="0.25">
      <c r="T545" s="22"/>
      <c r="U545" s="22"/>
    </row>
    <row r="546" spans="4:21" x14ac:dyDescent="0.25">
      <c r="T546" s="22"/>
      <c r="U546" s="22"/>
    </row>
    <row r="547" spans="4:21" x14ac:dyDescent="0.25">
      <c r="T547" s="22"/>
      <c r="U547" s="22"/>
    </row>
    <row r="548" spans="4:21" x14ac:dyDescent="0.25">
      <c r="T548" s="22"/>
      <c r="U548" s="22"/>
    </row>
    <row r="549" spans="4:21" x14ac:dyDescent="0.25">
      <c r="T549" s="22"/>
      <c r="U549" s="22"/>
    </row>
    <row r="550" spans="4:21" x14ac:dyDescent="0.25">
      <c r="T550" s="22"/>
      <c r="U550" s="22"/>
    </row>
    <row r="551" spans="4:21" x14ac:dyDescent="0.25">
      <c r="T551" s="22"/>
      <c r="U551" s="22"/>
    </row>
    <row r="552" spans="4:21" x14ac:dyDescent="0.25">
      <c r="T552" s="22"/>
      <c r="U552" s="22"/>
    </row>
    <row r="553" spans="4:21" x14ac:dyDescent="0.25">
      <c r="T553" s="22"/>
      <c r="U553" s="22"/>
    </row>
    <row r="554" spans="4:21" x14ac:dyDescent="0.25">
      <c r="T554" s="22"/>
      <c r="U554" s="22"/>
    </row>
    <row r="555" spans="4:21" x14ac:dyDescent="0.25">
      <c r="T555" s="22"/>
      <c r="U555" s="22"/>
    </row>
    <row r="556" spans="4:21" x14ac:dyDescent="0.25">
      <c r="T556" s="22"/>
      <c r="U556" s="22"/>
    </row>
    <row r="557" spans="4:21" x14ac:dyDescent="0.25">
      <c r="T557" s="22"/>
      <c r="U557" s="22"/>
    </row>
    <row r="558" spans="4:21" x14ac:dyDescent="0.25">
      <c r="D558" s="40"/>
      <c r="E558" s="40"/>
      <c r="F558" s="40"/>
      <c r="G558" s="42"/>
    </row>
    <row r="559" spans="4:21" x14ac:dyDescent="0.25">
      <c r="D559" s="40"/>
      <c r="E559" s="40"/>
      <c r="F559" s="40"/>
      <c r="G559" s="42"/>
    </row>
    <row r="560" spans="4:21" x14ac:dyDescent="0.25">
      <c r="D560" s="40"/>
      <c r="E560" s="40"/>
      <c r="F560" s="40"/>
      <c r="G560" s="42"/>
    </row>
    <row r="561" spans="4:7" x14ac:dyDescent="0.25">
      <c r="D561" s="40"/>
      <c r="E561" s="40"/>
      <c r="F561" s="40"/>
      <c r="G561" s="42"/>
    </row>
    <row r="562" spans="4:7" x14ac:dyDescent="0.25">
      <c r="D562" s="40"/>
      <c r="E562" s="40"/>
      <c r="F562" s="40"/>
      <c r="G562" s="42"/>
    </row>
    <row r="563" spans="4:7" x14ac:dyDescent="0.25">
      <c r="D563" s="40"/>
      <c r="E563" s="40"/>
      <c r="F563" s="40"/>
      <c r="G563" s="42"/>
    </row>
    <row r="564" spans="4:7" x14ac:dyDescent="0.25">
      <c r="D564" s="40"/>
      <c r="E564" s="40"/>
      <c r="F564" s="40"/>
      <c r="G564" s="42"/>
    </row>
    <row r="565" spans="4:7" x14ac:dyDescent="0.25">
      <c r="D565" s="40"/>
      <c r="E565" s="40"/>
      <c r="F565" s="40"/>
      <c r="G565" s="42"/>
    </row>
    <row r="566" spans="4:7" x14ac:dyDescent="0.25">
      <c r="D566" s="40"/>
      <c r="E566" s="40"/>
      <c r="F566" s="40"/>
      <c r="G566" s="42"/>
    </row>
    <row r="567" spans="4:7" x14ac:dyDescent="0.25">
      <c r="D567" s="40"/>
      <c r="E567" s="40"/>
      <c r="F567" s="40"/>
      <c r="G567" s="42"/>
    </row>
    <row r="568" spans="4:7" x14ac:dyDescent="0.25">
      <c r="D568" s="40"/>
      <c r="E568" s="40"/>
      <c r="F568" s="40"/>
      <c r="G568" s="42"/>
    </row>
    <row r="569" spans="4:7" x14ac:dyDescent="0.25">
      <c r="D569" s="40"/>
      <c r="E569" s="40"/>
      <c r="F569" s="40"/>
      <c r="G569" s="42"/>
    </row>
    <row r="570" spans="4:7" x14ac:dyDescent="0.25">
      <c r="D570" s="40"/>
      <c r="E570" s="40"/>
      <c r="F570" s="40"/>
      <c r="G570" s="42"/>
    </row>
    <row r="571" spans="4:7" x14ac:dyDescent="0.25">
      <c r="D571" s="40"/>
      <c r="E571" s="40"/>
      <c r="F571" s="40"/>
      <c r="G571" s="42"/>
    </row>
    <row r="572" spans="4:7" x14ac:dyDescent="0.25">
      <c r="D572" s="40"/>
      <c r="E572" s="40"/>
      <c r="F572" s="40"/>
      <c r="G572" s="42"/>
    </row>
    <row r="573" spans="4:7" x14ac:dyDescent="0.25">
      <c r="D573" s="40"/>
      <c r="E573" s="40"/>
      <c r="F573" s="40"/>
      <c r="G573" s="42"/>
    </row>
    <row r="574" spans="4:7" x14ac:dyDescent="0.25">
      <c r="D574" s="40"/>
      <c r="E574" s="40"/>
      <c r="F574" s="40"/>
      <c r="G574" s="42"/>
    </row>
    <row r="575" spans="4:7" x14ac:dyDescent="0.25">
      <c r="D575" s="40"/>
      <c r="E575" s="40"/>
      <c r="F575" s="40"/>
      <c r="G575" s="42"/>
    </row>
    <row r="576" spans="4:7" x14ac:dyDescent="0.25">
      <c r="D576" s="40"/>
      <c r="E576" s="40"/>
      <c r="F576" s="40"/>
      <c r="G576" s="42"/>
    </row>
    <row r="577" spans="4:7" x14ac:dyDescent="0.25">
      <c r="D577" s="40"/>
      <c r="E577" s="40"/>
      <c r="F577" s="40"/>
      <c r="G577" s="42"/>
    </row>
    <row r="578" spans="4:7" x14ac:dyDescent="0.25">
      <c r="D578" s="40"/>
      <c r="E578" s="40"/>
      <c r="F578" s="40"/>
      <c r="G578" s="42"/>
    </row>
    <row r="579" spans="4:7" x14ac:dyDescent="0.25">
      <c r="D579" s="40"/>
      <c r="E579" s="40"/>
      <c r="F579" s="40"/>
      <c r="G579" s="42"/>
    </row>
    <row r="580" spans="4:7" x14ac:dyDescent="0.25">
      <c r="D580" s="40"/>
      <c r="E580" s="40"/>
      <c r="F580" s="40"/>
      <c r="G580" s="42"/>
    </row>
    <row r="581" spans="4:7" x14ac:dyDescent="0.25">
      <c r="D581" s="40"/>
      <c r="E581" s="40"/>
      <c r="F581" s="40"/>
      <c r="G581" s="42"/>
    </row>
    <row r="582" spans="4:7" x14ac:dyDescent="0.25">
      <c r="D582" s="40"/>
      <c r="E582" s="40"/>
      <c r="F582" s="40"/>
      <c r="G582" s="42"/>
    </row>
    <row r="583" spans="4:7" x14ac:dyDescent="0.25">
      <c r="D583" s="40"/>
      <c r="E583" s="40"/>
      <c r="F583" s="40"/>
      <c r="G583" s="42"/>
    </row>
    <row r="584" spans="4:7" x14ac:dyDescent="0.25">
      <c r="D584" s="40"/>
      <c r="E584" s="40"/>
      <c r="F584" s="40"/>
      <c r="G584" s="42"/>
    </row>
    <row r="585" spans="4:7" x14ac:dyDescent="0.25">
      <c r="D585" s="40"/>
      <c r="E585" s="40"/>
      <c r="F585" s="40"/>
      <c r="G585" s="42"/>
    </row>
    <row r="586" spans="4:7" x14ac:dyDescent="0.25">
      <c r="D586" s="55"/>
      <c r="E586" s="55"/>
      <c r="F586" s="55"/>
      <c r="G586" s="64"/>
    </row>
    <row r="587" spans="4:7" x14ac:dyDescent="0.25">
      <c r="D587" s="55"/>
      <c r="E587" s="55"/>
      <c r="F587" s="55"/>
      <c r="G587" s="64"/>
    </row>
    <row r="588" spans="4:7" x14ac:dyDescent="0.25">
      <c r="D588" s="55"/>
      <c r="E588" s="55"/>
      <c r="F588" s="55"/>
      <c r="G588" s="64"/>
    </row>
    <row r="589" spans="4:7" x14ac:dyDescent="0.25">
      <c r="D589" s="55"/>
      <c r="E589" s="55"/>
      <c r="F589" s="55"/>
      <c r="G589" s="64"/>
    </row>
    <row r="590" spans="4:7" x14ac:dyDescent="0.25">
      <c r="D590" s="55"/>
      <c r="E590" s="55"/>
      <c r="F590" s="55"/>
      <c r="G590" s="64"/>
    </row>
    <row r="591" spans="4:7" x14ac:dyDescent="0.25">
      <c r="D591" s="55"/>
      <c r="E591" s="55"/>
      <c r="F591" s="55"/>
      <c r="G591" s="64"/>
    </row>
  </sheetData>
  <sheetProtection password="CA81" sheet="1" formatCells="0" formatColumns="0" formatRows="0" insertHyperlinks="0" autoFilter="0"/>
  <autoFilter ref="A4:V214" xr:uid="{00000000-0009-0000-0000-000004000000}">
    <filterColumn colId="3"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dataConsolidate/>
  <mergeCells count="147">
    <mergeCell ref="I188:I190"/>
    <mergeCell ref="I191:I193"/>
    <mergeCell ref="I194:I196"/>
    <mergeCell ref="I197:I199"/>
    <mergeCell ref="I200:I202"/>
    <mergeCell ref="I203:I205"/>
    <mergeCell ref="I206:I208"/>
    <mergeCell ref="I209:I211"/>
    <mergeCell ref="I161:I163"/>
    <mergeCell ref="I164:I166"/>
    <mergeCell ref="I167:I169"/>
    <mergeCell ref="I170:I172"/>
    <mergeCell ref="I173:I175"/>
    <mergeCell ref="I176:I178"/>
    <mergeCell ref="I179:I181"/>
    <mergeCell ref="I182:I184"/>
    <mergeCell ref="I185:I187"/>
    <mergeCell ref="I134:I136"/>
    <mergeCell ref="I137:I139"/>
    <mergeCell ref="I140:I142"/>
    <mergeCell ref="I143:I145"/>
    <mergeCell ref="I146:I148"/>
    <mergeCell ref="I149:I151"/>
    <mergeCell ref="I152:I154"/>
    <mergeCell ref="I155:I157"/>
    <mergeCell ref="I158:I160"/>
    <mergeCell ref="I107:I109"/>
    <mergeCell ref="I110:I112"/>
    <mergeCell ref="I113:I115"/>
    <mergeCell ref="I116:I118"/>
    <mergeCell ref="I119:I121"/>
    <mergeCell ref="I122:I124"/>
    <mergeCell ref="I125:I127"/>
    <mergeCell ref="I128:I130"/>
    <mergeCell ref="I131:I133"/>
    <mergeCell ref="I80:I82"/>
    <mergeCell ref="I83:I85"/>
    <mergeCell ref="I86:I88"/>
    <mergeCell ref="I89:I91"/>
    <mergeCell ref="I92:I94"/>
    <mergeCell ref="I95:I97"/>
    <mergeCell ref="I98:I100"/>
    <mergeCell ref="I101:I103"/>
    <mergeCell ref="I104:I106"/>
    <mergeCell ref="I53:I55"/>
    <mergeCell ref="I56:I58"/>
    <mergeCell ref="I59:I61"/>
    <mergeCell ref="I62:I64"/>
    <mergeCell ref="I65:I67"/>
    <mergeCell ref="I68:I70"/>
    <mergeCell ref="I71:I73"/>
    <mergeCell ref="I74:I76"/>
    <mergeCell ref="I77:I79"/>
    <mergeCell ref="H194:H196"/>
    <mergeCell ref="H197:H199"/>
    <mergeCell ref="H200:H202"/>
    <mergeCell ref="H203:H205"/>
    <mergeCell ref="H206:H208"/>
    <mergeCell ref="H209:H211"/>
    <mergeCell ref="H212:H214"/>
    <mergeCell ref="I212:I214"/>
    <mergeCell ref="I5:I7"/>
    <mergeCell ref="I8:I10"/>
    <mergeCell ref="I11:I13"/>
    <mergeCell ref="I14:I16"/>
    <mergeCell ref="I17:I19"/>
    <mergeCell ref="I20:I22"/>
    <mergeCell ref="I23:I25"/>
    <mergeCell ref="I26:I28"/>
    <mergeCell ref="I29:I31"/>
    <mergeCell ref="I32:I34"/>
    <mergeCell ref="I35:I37"/>
    <mergeCell ref="I38:I40"/>
    <mergeCell ref="I41:I43"/>
    <mergeCell ref="I44:I46"/>
    <mergeCell ref="I47:I49"/>
    <mergeCell ref="I50:I52"/>
    <mergeCell ref="H167:H169"/>
    <mergeCell ref="H170:H172"/>
    <mergeCell ref="H173:H175"/>
    <mergeCell ref="H176:H178"/>
    <mergeCell ref="H179:H181"/>
    <mergeCell ref="H182:H184"/>
    <mergeCell ref="H185:H187"/>
    <mergeCell ref="H188:H190"/>
    <mergeCell ref="H191:H193"/>
    <mergeCell ref="A1:G1"/>
    <mergeCell ref="H1:I3"/>
    <mergeCell ref="A3:A4"/>
    <mergeCell ref="B3:B4"/>
    <mergeCell ref="C3:C4"/>
    <mergeCell ref="D3:D4"/>
    <mergeCell ref="E3:F3"/>
    <mergeCell ref="H5:H7"/>
    <mergeCell ref="H8:H10"/>
    <mergeCell ref="H11:H13"/>
    <mergeCell ref="H14:H16"/>
    <mergeCell ref="H17:H19"/>
    <mergeCell ref="H20:H22"/>
    <mergeCell ref="H23:H25"/>
    <mergeCell ref="H26:H28"/>
    <mergeCell ref="H29:H31"/>
    <mergeCell ref="H32:H34"/>
    <mergeCell ref="H35:H37"/>
    <mergeCell ref="H38:H40"/>
    <mergeCell ref="H41:H43"/>
    <mergeCell ref="H44:H46"/>
    <mergeCell ref="H47:H49"/>
    <mergeCell ref="H50:H52"/>
    <mergeCell ref="H53:H55"/>
    <mergeCell ref="H56:H58"/>
    <mergeCell ref="H59:H61"/>
    <mergeCell ref="H62:H64"/>
    <mergeCell ref="H65:H67"/>
    <mergeCell ref="H68:H70"/>
    <mergeCell ref="H71:H73"/>
    <mergeCell ref="H74:H76"/>
    <mergeCell ref="H77:H79"/>
    <mergeCell ref="H80:H82"/>
    <mergeCell ref="H83:H85"/>
    <mergeCell ref="H86:H88"/>
    <mergeCell ref="H89:H91"/>
    <mergeCell ref="H92:H94"/>
    <mergeCell ref="H95:H97"/>
    <mergeCell ref="H98:H100"/>
    <mergeCell ref="H101:H103"/>
    <mergeCell ref="H104:H106"/>
    <mergeCell ref="H107:H109"/>
    <mergeCell ref="H110:H112"/>
    <mergeCell ref="H113:H115"/>
    <mergeCell ref="H116:H118"/>
    <mergeCell ref="H146:H148"/>
    <mergeCell ref="H149:H151"/>
    <mergeCell ref="H152:H154"/>
    <mergeCell ref="H155:H157"/>
    <mergeCell ref="H158:H160"/>
    <mergeCell ref="H161:H163"/>
    <mergeCell ref="H164:H166"/>
    <mergeCell ref="H119:H121"/>
    <mergeCell ref="H122:H124"/>
    <mergeCell ref="H125:H127"/>
    <mergeCell ref="H128:H130"/>
    <mergeCell ref="H131:H133"/>
    <mergeCell ref="H134:H136"/>
    <mergeCell ref="H137:H139"/>
    <mergeCell ref="H140:H142"/>
    <mergeCell ref="H143:H145"/>
  </mergeCells>
  <dataValidations count="1">
    <dataValidation type="date" operator="greaterThan" allowBlank="1" showInputMessage="1" showErrorMessage="1" errorTitle="Date Format" error="mm/dd/yyyy" promptTitle="Date Format" prompt="mm/dd/yyyy" sqref="G5:G214" xr:uid="{00000000-0002-0000-0400-000000000000}">
      <formula1>1</formula1>
    </dataValidation>
  </dataValidations>
  <pageMargins left="0.7" right="0.7" top="0.75" bottom="0.75" header="0.3" footer="0.3"/>
  <pageSetup orientation="portrait" r:id="rId1"/>
  <ignoredErrors>
    <ignoredError sqref="B2 D2" unlockedFormula="1"/>
  </ignoredError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Validation!$H$2:$H$7</xm:f>
          </x14:formula1>
          <xm:sqref>E5:F214</xm:sqref>
        </x14:dataValidation>
        <x14:dataValidation type="list" allowBlank="1" showInputMessage="1" showErrorMessage="1" error="Select value from the dropdown!" prompt="Click dropdown arrow to change State ID." xr:uid="{00000000-0002-0000-0400-000002000000}">
          <x14:formula1>
            <xm:f>Validation!$G$2:$G$57</xm:f>
          </x14:formula1>
          <xm:sqref>D2</xm:sqref>
        </x14:dataValidation>
        <x14:dataValidation type="list" allowBlank="1" showInputMessage="1" showErrorMessage="1" prompt="Click dropdown arrow to change Program Name." xr:uid="{00000000-0002-0000-0400-000003000000}">
          <x14:formula1>
            <xm:f>Validation!$J$2:$J$4</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K555"/>
  <sheetViews>
    <sheetView topLeftCell="E1" workbookViewId="0">
      <selection activeCell="J6" sqref="J6"/>
    </sheetView>
  </sheetViews>
  <sheetFormatPr defaultRowHeight="15" x14ac:dyDescent="0.25"/>
  <cols>
    <col min="1" max="1" width="16.140625" bestFit="1" customWidth="1"/>
    <col min="2" max="2" width="34.42578125" customWidth="1"/>
    <col min="3" max="3" width="70" bestFit="1" customWidth="1"/>
    <col min="5" max="5" width="63.7109375" customWidth="1"/>
    <col min="7" max="7" width="10.28515625" bestFit="1" customWidth="1"/>
    <col min="8" max="8" width="14.7109375" customWidth="1"/>
  </cols>
  <sheetData>
    <row r="1" spans="1:11" ht="36.75" customHeight="1" thickBot="1" x14ac:dyDescent="0.3">
      <c r="A1" s="53" t="s">
        <v>61</v>
      </c>
      <c r="B1" s="53" t="s">
        <v>46</v>
      </c>
      <c r="C1" s="54" t="s">
        <v>48</v>
      </c>
      <c r="D1" s="295" t="s">
        <v>49</v>
      </c>
      <c r="E1" s="295"/>
      <c r="F1" s="40"/>
      <c r="G1" s="56" t="s">
        <v>39</v>
      </c>
      <c r="H1" s="57" t="s">
        <v>211</v>
      </c>
      <c r="I1" s="55"/>
      <c r="J1" s="21" t="s">
        <v>208</v>
      </c>
      <c r="K1" s="55"/>
    </row>
    <row r="2" spans="1:11" ht="15.75" thickBot="1" x14ac:dyDescent="0.3">
      <c r="A2" s="58">
        <v>1</v>
      </c>
      <c r="B2" s="58" t="s">
        <v>62</v>
      </c>
      <c r="C2" s="59" t="s">
        <v>124</v>
      </c>
      <c r="D2" s="294" t="s">
        <v>50</v>
      </c>
      <c r="E2" s="294"/>
      <c r="F2" s="40"/>
      <c r="G2" t="s">
        <v>256</v>
      </c>
      <c r="H2" s="60">
        <v>1</v>
      </c>
      <c r="I2" s="55"/>
      <c r="J2" s="16" t="s">
        <v>255</v>
      </c>
      <c r="K2" s="55"/>
    </row>
    <row r="3" spans="1:11" ht="16.5" thickBot="1" x14ac:dyDescent="0.3">
      <c r="A3" s="58">
        <v>2</v>
      </c>
      <c r="B3" s="58" t="s">
        <v>63</v>
      </c>
      <c r="C3" s="59" t="s">
        <v>125</v>
      </c>
      <c r="D3" s="294" t="s">
        <v>51</v>
      </c>
      <c r="E3" s="294"/>
      <c r="F3" s="40"/>
      <c r="G3" s="3" t="s">
        <v>72</v>
      </c>
      <c r="H3" s="60">
        <v>2</v>
      </c>
      <c r="I3" s="55"/>
      <c r="J3" s="18" t="s">
        <v>244</v>
      </c>
      <c r="K3" s="55"/>
    </row>
    <row r="4" spans="1:11" ht="16.5" thickBot="1" x14ac:dyDescent="0.3">
      <c r="A4" s="58">
        <v>3</v>
      </c>
      <c r="B4" s="58" t="s">
        <v>45</v>
      </c>
      <c r="C4" s="59" t="s">
        <v>126</v>
      </c>
      <c r="D4" s="294" t="s">
        <v>52</v>
      </c>
      <c r="E4" s="294"/>
      <c r="F4" s="40"/>
      <c r="G4" s="3" t="s">
        <v>73</v>
      </c>
      <c r="H4" s="60">
        <v>3</v>
      </c>
      <c r="I4" s="55"/>
      <c r="J4" s="18" t="s">
        <v>209</v>
      </c>
      <c r="K4" s="55"/>
    </row>
    <row r="5" spans="1:11" ht="15.75" thickBot="1" x14ac:dyDescent="0.3">
      <c r="A5" s="58">
        <v>4</v>
      </c>
      <c r="B5" s="58" t="s">
        <v>64</v>
      </c>
      <c r="C5" s="59" t="s">
        <v>127</v>
      </c>
      <c r="D5" s="294" t="s">
        <v>53</v>
      </c>
      <c r="E5" s="294"/>
      <c r="F5" s="40"/>
      <c r="G5" s="3" t="s">
        <v>74</v>
      </c>
      <c r="H5" s="60">
        <v>4</v>
      </c>
      <c r="I5" s="55"/>
      <c r="K5" s="55"/>
    </row>
    <row r="6" spans="1:11" ht="15.75" thickBot="1" x14ac:dyDescent="0.3">
      <c r="A6" s="58">
        <v>5</v>
      </c>
      <c r="B6" s="58" t="s">
        <v>65</v>
      </c>
      <c r="C6" s="59" t="s">
        <v>128</v>
      </c>
      <c r="D6" s="294" t="s">
        <v>54</v>
      </c>
      <c r="E6" s="294"/>
      <c r="F6" s="40"/>
      <c r="G6" s="3" t="s">
        <v>75</v>
      </c>
      <c r="H6" s="60">
        <v>5</v>
      </c>
      <c r="I6" s="55"/>
      <c r="J6" s="61"/>
      <c r="K6" s="55"/>
    </row>
    <row r="7" spans="1:11" ht="15.75" thickBot="1" x14ac:dyDescent="0.3">
      <c r="A7" s="58">
        <v>6</v>
      </c>
      <c r="B7" s="58" t="s">
        <v>66</v>
      </c>
      <c r="C7" s="59" t="s">
        <v>129</v>
      </c>
      <c r="D7" s="294" t="s">
        <v>55</v>
      </c>
      <c r="E7" s="294"/>
      <c r="F7" s="40"/>
      <c r="G7" s="3" t="s">
        <v>76</v>
      </c>
      <c r="H7" s="60" t="s">
        <v>210</v>
      </c>
      <c r="I7" s="55"/>
      <c r="J7" s="61"/>
      <c r="K7" s="55"/>
    </row>
    <row r="8" spans="1:11" ht="15.75" thickBot="1" x14ac:dyDescent="0.3">
      <c r="A8" s="58">
        <v>7</v>
      </c>
      <c r="B8" s="58" t="s">
        <v>67</v>
      </c>
      <c r="C8" s="59" t="s">
        <v>130</v>
      </c>
      <c r="D8" s="294" t="s">
        <v>56</v>
      </c>
      <c r="E8" s="294"/>
      <c r="F8" s="40"/>
      <c r="G8" s="3" t="s">
        <v>77</v>
      </c>
      <c r="H8" s="55"/>
      <c r="I8" s="55"/>
      <c r="J8" s="61"/>
      <c r="K8" s="55"/>
    </row>
    <row r="9" spans="1:11" ht="15.75" thickBot="1" x14ac:dyDescent="0.3">
      <c r="A9" s="58">
        <v>8</v>
      </c>
      <c r="B9" s="58" t="s">
        <v>68</v>
      </c>
      <c r="C9" s="59" t="s">
        <v>131</v>
      </c>
      <c r="D9" s="294" t="s">
        <v>57</v>
      </c>
      <c r="E9" s="294"/>
      <c r="F9" s="40"/>
      <c r="G9" s="3" t="s">
        <v>78</v>
      </c>
      <c r="H9" s="55"/>
      <c r="I9" s="55"/>
      <c r="J9" s="62"/>
      <c r="K9" s="55"/>
    </row>
    <row r="10" spans="1:11" ht="15.75" thickBot="1" x14ac:dyDescent="0.3">
      <c r="A10" s="58">
        <v>9</v>
      </c>
      <c r="B10" s="58" t="s">
        <v>69</v>
      </c>
      <c r="C10" s="59" t="s">
        <v>132</v>
      </c>
      <c r="D10" s="294" t="s">
        <v>58</v>
      </c>
      <c r="E10" s="294"/>
      <c r="F10" s="40"/>
      <c r="G10" s="3" t="s">
        <v>79</v>
      </c>
      <c r="H10" s="55"/>
      <c r="I10" s="55"/>
      <c r="J10" s="62"/>
      <c r="K10" s="55"/>
    </row>
    <row r="11" spans="1:11" ht="15.75" thickBot="1" x14ac:dyDescent="0.3">
      <c r="A11" s="58">
        <v>10</v>
      </c>
      <c r="B11" s="58" t="s">
        <v>70</v>
      </c>
      <c r="C11" s="59" t="s">
        <v>133</v>
      </c>
      <c r="D11" s="294" t="s">
        <v>59</v>
      </c>
      <c r="E11" s="294"/>
      <c r="F11" s="40"/>
      <c r="G11" s="3" t="s">
        <v>80</v>
      </c>
      <c r="H11" s="55"/>
      <c r="I11" s="55"/>
      <c r="J11" s="62"/>
      <c r="K11" s="55"/>
    </row>
    <row r="12" spans="1:11" ht="15.75" thickBot="1" x14ac:dyDescent="0.3">
      <c r="A12" s="58">
        <v>11</v>
      </c>
      <c r="B12" s="58" t="s">
        <v>71</v>
      </c>
      <c r="C12" s="59" t="s">
        <v>134</v>
      </c>
      <c r="D12" s="294" t="s">
        <v>60</v>
      </c>
      <c r="E12" s="294"/>
      <c r="F12" s="40"/>
      <c r="G12" s="3" t="s">
        <v>81</v>
      </c>
      <c r="H12" s="55"/>
      <c r="I12" s="55"/>
      <c r="J12" s="62"/>
      <c r="K12" s="55"/>
    </row>
    <row r="13" spans="1:11" x14ac:dyDescent="0.25">
      <c r="A13" s="40"/>
      <c r="B13" s="40"/>
      <c r="C13" s="40"/>
      <c r="D13" s="40"/>
      <c r="E13" s="40"/>
      <c r="F13" s="40"/>
      <c r="G13" s="3" t="s">
        <v>82</v>
      </c>
      <c r="H13" s="55"/>
      <c r="I13" s="55"/>
      <c r="J13" s="62"/>
      <c r="K13" s="55"/>
    </row>
    <row r="14" spans="1:11" x14ac:dyDescent="0.25">
      <c r="A14" s="40"/>
      <c r="B14" s="40"/>
      <c r="C14" s="40"/>
      <c r="D14" s="40"/>
      <c r="E14" s="40"/>
      <c r="F14" s="40"/>
      <c r="G14" s="3" t="s">
        <v>83</v>
      </c>
      <c r="H14" s="55"/>
      <c r="I14" s="55"/>
      <c r="J14" s="62"/>
      <c r="K14" s="55"/>
    </row>
    <row r="15" spans="1:11" x14ac:dyDescent="0.25">
      <c r="A15" s="40"/>
      <c r="B15" s="40"/>
      <c r="C15" s="40"/>
      <c r="D15" s="40"/>
      <c r="E15" s="40"/>
      <c r="F15" s="40"/>
      <c r="G15" s="3" t="s">
        <v>84</v>
      </c>
      <c r="H15" s="55"/>
      <c r="I15" s="55"/>
      <c r="J15" s="62"/>
      <c r="K15" s="55"/>
    </row>
    <row r="16" spans="1:11" x14ac:dyDescent="0.25">
      <c r="A16" s="40"/>
      <c r="B16" s="40"/>
      <c r="C16" s="40"/>
      <c r="D16" s="40"/>
      <c r="E16" s="40"/>
      <c r="F16" s="40"/>
      <c r="G16" s="3" t="s">
        <v>85</v>
      </c>
      <c r="H16" s="55"/>
      <c r="I16" s="55"/>
      <c r="J16" s="62"/>
      <c r="K16" s="55"/>
    </row>
    <row r="17" spans="1:11" x14ac:dyDescent="0.25">
      <c r="A17" s="40"/>
      <c r="B17" s="40"/>
      <c r="C17" s="40"/>
      <c r="D17" s="40"/>
      <c r="E17" s="40"/>
      <c r="F17" s="40"/>
      <c r="G17" s="3" t="s">
        <v>86</v>
      </c>
      <c r="H17" s="55"/>
      <c r="I17" s="55"/>
      <c r="J17" s="62"/>
      <c r="K17" s="55"/>
    </row>
    <row r="18" spans="1:11" x14ac:dyDescent="0.25">
      <c r="A18" s="40"/>
      <c r="B18" s="40"/>
      <c r="C18" s="40"/>
      <c r="D18" s="40"/>
      <c r="E18" s="40"/>
      <c r="F18" s="40"/>
      <c r="G18" s="3" t="s">
        <v>87</v>
      </c>
      <c r="H18" s="55"/>
      <c r="I18" s="55"/>
      <c r="J18" s="62"/>
      <c r="K18" s="55"/>
    </row>
    <row r="19" spans="1:11" x14ac:dyDescent="0.25">
      <c r="A19" s="40"/>
      <c r="B19" s="40"/>
      <c r="C19" s="40"/>
      <c r="D19" s="40"/>
      <c r="E19" s="40"/>
      <c r="F19" s="40"/>
      <c r="G19" s="3" t="s">
        <v>88</v>
      </c>
      <c r="H19" s="55"/>
      <c r="I19" s="55"/>
      <c r="J19" s="62"/>
      <c r="K19" s="55"/>
    </row>
    <row r="20" spans="1:11" x14ac:dyDescent="0.25">
      <c r="A20" s="40"/>
      <c r="B20" s="40"/>
      <c r="C20" s="40"/>
      <c r="D20" s="40"/>
      <c r="E20" s="40"/>
      <c r="F20" s="40"/>
      <c r="G20" s="3" t="s">
        <v>89</v>
      </c>
      <c r="H20" s="55"/>
      <c r="I20" s="55"/>
      <c r="J20" s="62"/>
      <c r="K20" s="55"/>
    </row>
    <row r="21" spans="1:11" x14ac:dyDescent="0.25">
      <c r="A21" s="40"/>
      <c r="B21" s="40"/>
      <c r="C21" s="40"/>
      <c r="D21" s="40"/>
      <c r="E21" s="40"/>
      <c r="F21" s="40"/>
      <c r="G21" s="3" t="s">
        <v>90</v>
      </c>
      <c r="H21" s="55"/>
      <c r="I21" s="55"/>
      <c r="J21" s="62"/>
      <c r="K21" s="55"/>
    </row>
    <row r="22" spans="1:11" x14ac:dyDescent="0.25">
      <c r="A22" s="40"/>
      <c r="B22" s="40"/>
      <c r="C22" s="40"/>
      <c r="D22" s="40"/>
      <c r="E22" s="40"/>
      <c r="F22" s="40"/>
      <c r="G22" s="3" t="s">
        <v>91</v>
      </c>
      <c r="H22" s="55"/>
      <c r="I22" s="55"/>
      <c r="J22" s="62"/>
      <c r="K22" s="55"/>
    </row>
    <row r="23" spans="1:11" x14ac:dyDescent="0.25">
      <c r="A23" s="40"/>
      <c r="B23" s="40"/>
      <c r="C23" s="40"/>
      <c r="D23" s="40"/>
      <c r="E23" s="40"/>
      <c r="F23" s="40"/>
      <c r="G23" s="3" t="s">
        <v>47</v>
      </c>
      <c r="H23" s="55"/>
      <c r="I23" s="55"/>
      <c r="J23" s="62"/>
      <c r="K23" s="55"/>
    </row>
    <row r="24" spans="1:11" x14ac:dyDescent="0.25">
      <c r="A24" s="40"/>
      <c r="B24" s="40"/>
      <c r="C24" s="40"/>
      <c r="D24" s="40"/>
      <c r="E24" s="40"/>
      <c r="F24" s="40"/>
      <c r="G24" s="3" t="s">
        <v>92</v>
      </c>
      <c r="H24" s="55"/>
      <c r="I24" s="55"/>
      <c r="J24" s="62"/>
      <c r="K24" s="55"/>
    </row>
    <row r="25" spans="1:11" x14ac:dyDescent="0.25">
      <c r="A25" s="40"/>
      <c r="B25" s="40"/>
      <c r="C25" s="40"/>
      <c r="D25" s="40"/>
      <c r="E25" s="40"/>
      <c r="F25" s="40"/>
      <c r="G25" s="3" t="s">
        <v>93</v>
      </c>
      <c r="H25" s="55"/>
      <c r="I25" s="55"/>
      <c r="J25" s="62"/>
      <c r="K25" s="55"/>
    </row>
    <row r="26" spans="1:11" x14ac:dyDescent="0.25">
      <c r="A26" s="40"/>
      <c r="B26" s="40"/>
      <c r="C26" s="40"/>
      <c r="D26" s="40"/>
      <c r="E26" s="40"/>
      <c r="F26" s="40"/>
      <c r="G26" s="3" t="s">
        <v>94</v>
      </c>
      <c r="H26" s="55"/>
      <c r="I26" s="55"/>
      <c r="J26" s="62"/>
      <c r="K26" s="55"/>
    </row>
    <row r="27" spans="1:11" x14ac:dyDescent="0.25">
      <c r="A27" s="40"/>
      <c r="B27" s="40"/>
      <c r="C27" s="40"/>
      <c r="D27" s="40"/>
      <c r="E27" s="40"/>
      <c r="F27" s="40"/>
      <c r="G27" s="3" t="s">
        <v>95</v>
      </c>
      <c r="H27" s="55"/>
      <c r="I27" s="55"/>
      <c r="J27" s="62"/>
      <c r="K27" s="55"/>
    </row>
    <row r="28" spans="1:11" x14ac:dyDescent="0.25">
      <c r="A28" s="40"/>
      <c r="B28" s="40"/>
      <c r="C28" s="40"/>
      <c r="D28" s="40"/>
      <c r="E28" s="40"/>
      <c r="F28" s="40"/>
      <c r="G28" s="3" t="s">
        <v>243</v>
      </c>
      <c r="H28" s="55"/>
      <c r="I28" s="55"/>
      <c r="J28" s="62"/>
      <c r="K28" s="55"/>
    </row>
    <row r="29" spans="1:11" x14ac:dyDescent="0.25">
      <c r="A29" s="40"/>
      <c r="B29" s="40"/>
      <c r="C29" s="40"/>
      <c r="D29" s="40"/>
      <c r="E29" s="40"/>
      <c r="F29" s="40"/>
      <c r="G29" s="3" t="s">
        <v>96</v>
      </c>
      <c r="H29" s="55"/>
      <c r="I29" s="55"/>
      <c r="J29" s="62"/>
      <c r="K29" s="55"/>
    </row>
    <row r="30" spans="1:11" x14ac:dyDescent="0.25">
      <c r="A30" s="40"/>
      <c r="B30" s="40"/>
      <c r="C30" s="40"/>
      <c r="D30" s="40"/>
      <c r="E30" s="40"/>
      <c r="F30" s="40"/>
      <c r="G30" s="3" t="s">
        <v>97</v>
      </c>
      <c r="H30" s="55"/>
      <c r="I30" s="55"/>
      <c r="J30" s="62"/>
      <c r="K30" s="55"/>
    </row>
    <row r="31" spans="1:11" x14ac:dyDescent="0.25">
      <c r="A31" s="40"/>
      <c r="B31" s="40"/>
      <c r="C31" s="40"/>
      <c r="D31" s="40"/>
      <c r="E31" s="40"/>
      <c r="F31" s="40"/>
      <c r="G31" s="3" t="s">
        <v>98</v>
      </c>
      <c r="H31" s="55"/>
      <c r="I31" s="55"/>
      <c r="J31" s="62"/>
      <c r="K31" s="55"/>
    </row>
    <row r="32" spans="1:11" x14ac:dyDescent="0.25">
      <c r="A32" s="40"/>
      <c r="B32" s="40"/>
      <c r="C32" s="40"/>
      <c r="D32" s="40"/>
      <c r="E32" s="40"/>
      <c r="F32" s="40"/>
      <c r="G32" s="3" t="s">
        <v>99</v>
      </c>
      <c r="H32" s="55"/>
      <c r="I32" s="55"/>
      <c r="J32" s="62"/>
      <c r="K32" s="55"/>
    </row>
    <row r="33" spans="1:11" x14ac:dyDescent="0.25">
      <c r="A33" s="40"/>
      <c r="B33" s="40"/>
      <c r="C33" s="40"/>
      <c r="D33" s="40"/>
      <c r="E33" s="40"/>
      <c r="F33" s="40"/>
      <c r="G33" s="3" t="s">
        <v>100</v>
      </c>
      <c r="H33" s="55"/>
      <c r="I33" s="55"/>
      <c r="J33" s="62"/>
      <c r="K33" s="55"/>
    </row>
    <row r="34" spans="1:11" x14ac:dyDescent="0.25">
      <c r="A34" s="40"/>
      <c r="B34" s="40"/>
      <c r="C34" s="40"/>
      <c r="D34" s="40"/>
      <c r="E34" s="40"/>
      <c r="F34" s="40"/>
      <c r="G34" s="3" t="s">
        <v>101</v>
      </c>
      <c r="H34" s="55"/>
      <c r="I34" s="55"/>
      <c r="J34" s="62"/>
      <c r="K34" s="55"/>
    </row>
    <row r="35" spans="1:11" x14ac:dyDescent="0.25">
      <c r="A35" s="40"/>
      <c r="B35" s="40"/>
      <c r="C35" s="40"/>
      <c r="D35" s="40"/>
      <c r="E35" s="40"/>
      <c r="F35" s="40"/>
      <c r="G35" s="3" t="s">
        <v>102</v>
      </c>
      <c r="H35" s="55"/>
      <c r="I35" s="55"/>
      <c r="J35" s="62"/>
      <c r="K35" s="55"/>
    </row>
    <row r="36" spans="1:11" x14ac:dyDescent="0.25">
      <c r="A36" s="40"/>
      <c r="B36" s="40"/>
      <c r="C36" s="40"/>
      <c r="D36" s="40"/>
      <c r="E36" s="40"/>
      <c r="F36" s="40"/>
      <c r="G36" s="3" t="s">
        <v>103</v>
      </c>
      <c r="H36" s="55"/>
      <c r="I36" s="55"/>
      <c r="J36" s="62"/>
      <c r="K36" s="55"/>
    </row>
    <row r="37" spans="1:11" x14ac:dyDescent="0.25">
      <c r="A37" s="40"/>
      <c r="B37" s="40"/>
      <c r="C37" s="40"/>
      <c r="D37" s="40"/>
      <c r="E37" s="40"/>
      <c r="F37" s="40"/>
      <c r="G37" s="3" t="s">
        <v>104</v>
      </c>
      <c r="H37" s="55"/>
      <c r="I37" s="55"/>
      <c r="J37" s="62"/>
      <c r="K37" s="55"/>
    </row>
    <row r="38" spans="1:11" x14ac:dyDescent="0.25">
      <c r="A38" s="40"/>
      <c r="B38" s="40"/>
      <c r="C38" s="40"/>
      <c r="D38" s="40"/>
      <c r="E38" s="40"/>
      <c r="F38" s="40"/>
      <c r="G38" s="3" t="s">
        <v>105</v>
      </c>
      <c r="H38" s="55"/>
      <c r="I38" s="55"/>
      <c r="J38" s="62"/>
      <c r="K38" s="55"/>
    </row>
    <row r="39" spans="1:11" x14ac:dyDescent="0.25">
      <c r="A39" s="40"/>
      <c r="B39" s="40"/>
      <c r="C39" s="40"/>
      <c r="D39" s="40"/>
      <c r="E39" s="40"/>
      <c r="F39" s="40"/>
      <c r="G39" s="3" t="s">
        <v>106</v>
      </c>
      <c r="H39" s="55"/>
      <c r="I39" s="55"/>
      <c r="J39" s="62"/>
      <c r="K39" s="55"/>
    </row>
    <row r="40" spans="1:11" x14ac:dyDescent="0.25">
      <c r="A40" s="40"/>
      <c r="B40" s="40"/>
      <c r="C40" s="40"/>
      <c r="D40" s="40"/>
      <c r="E40" s="40"/>
      <c r="F40" s="40"/>
      <c r="G40" s="3" t="s">
        <v>107</v>
      </c>
      <c r="H40" s="55"/>
      <c r="I40" s="55"/>
      <c r="J40" s="62"/>
      <c r="K40" s="55"/>
    </row>
    <row r="41" spans="1:11" x14ac:dyDescent="0.25">
      <c r="A41" s="40"/>
      <c r="B41" s="40"/>
      <c r="C41" s="40"/>
      <c r="D41" s="40"/>
      <c r="E41" s="40"/>
      <c r="F41" s="40"/>
      <c r="G41" s="3" t="s">
        <v>108</v>
      </c>
      <c r="H41" s="55"/>
      <c r="I41" s="55"/>
      <c r="J41" s="62"/>
      <c r="K41" s="55"/>
    </row>
    <row r="42" spans="1:11" x14ac:dyDescent="0.25">
      <c r="A42" s="40"/>
      <c r="B42" s="40"/>
      <c r="C42" s="40"/>
      <c r="D42" s="40"/>
      <c r="E42" s="40"/>
      <c r="F42" s="40"/>
      <c r="G42" s="3" t="s">
        <v>109</v>
      </c>
      <c r="H42" s="55"/>
      <c r="I42" s="55"/>
      <c r="J42" s="62"/>
      <c r="K42" s="55"/>
    </row>
    <row r="43" spans="1:11" x14ac:dyDescent="0.25">
      <c r="A43" s="40"/>
      <c r="B43" s="40"/>
      <c r="C43" s="40"/>
      <c r="D43" s="40"/>
      <c r="E43" s="40"/>
      <c r="F43" s="40"/>
      <c r="G43" s="3" t="s">
        <v>110</v>
      </c>
      <c r="H43" s="55"/>
      <c r="I43" s="55"/>
      <c r="J43" s="62"/>
      <c r="K43" s="55"/>
    </row>
    <row r="44" spans="1:11" x14ac:dyDescent="0.25">
      <c r="A44" s="40"/>
      <c r="B44" s="40"/>
      <c r="C44" s="40"/>
      <c r="D44" s="40"/>
      <c r="E44" s="40"/>
      <c r="F44" s="40"/>
      <c r="G44" s="3" t="s">
        <v>111</v>
      </c>
      <c r="H44" s="55"/>
      <c r="I44" s="55"/>
      <c r="J44" s="62"/>
      <c r="K44" s="55"/>
    </row>
    <row r="45" spans="1:11" x14ac:dyDescent="0.25">
      <c r="A45" s="40"/>
      <c r="B45" s="40"/>
      <c r="C45" s="40"/>
      <c r="D45" s="40"/>
      <c r="E45" s="40"/>
      <c r="F45" s="40"/>
      <c r="G45" s="3" t="s">
        <v>112</v>
      </c>
      <c r="H45" s="55"/>
      <c r="I45" s="55"/>
      <c r="J45" s="62"/>
      <c r="K45" s="55"/>
    </row>
    <row r="46" spans="1:11" x14ac:dyDescent="0.25">
      <c r="A46" s="40"/>
      <c r="B46" s="40"/>
      <c r="C46" s="40"/>
      <c r="D46" s="40"/>
      <c r="E46" s="40"/>
      <c r="F46" s="40"/>
      <c r="G46" s="3" t="s">
        <v>113</v>
      </c>
      <c r="H46" s="55"/>
      <c r="I46" s="55"/>
      <c r="J46" s="62"/>
      <c r="K46" s="55"/>
    </row>
    <row r="47" spans="1:11" x14ac:dyDescent="0.25">
      <c r="A47" s="40"/>
      <c r="B47" s="40"/>
      <c r="C47" s="40"/>
      <c r="D47" s="40"/>
      <c r="E47" s="40"/>
      <c r="F47" s="40"/>
      <c r="G47" s="3" t="s">
        <v>114</v>
      </c>
      <c r="H47" s="55"/>
      <c r="I47" s="55"/>
      <c r="J47" s="62"/>
      <c r="K47" s="55"/>
    </row>
    <row r="48" spans="1:11" x14ac:dyDescent="0.25">
      <c r="A48" s="40"/>
      <c r="B48" s="40"/>
      <c r="C48" s="40"/>
      <c r="D48" s="40"/>
      <c r="E48" s="40"/>
      <c r="F48" s="40"/>
      <c r="G48" s="3" t="s">
        <v>115</v>
      </c>
      <c r="H48" s="55"/>
      <c r="I48" s="55"/>
      <c r="J48" s="62"/>
      <c r="K48" s="55"/>
    </row>
    <row r="49" spans="1:11" x14ac:dyDescent="0.25">
      <c r="A49" s="40"/>
      <c r="B49" s="40"/>
      <c r="C49" s="40"/>
      <c r="D49" s="40"/>
      <c r="E49" s="40"/>
      <c r="F49" s="40"/>
      <c r="G49" s="3" t="s">
        <v>116</v>
      </c>
      <c r="H49" s="55"/>
      <c r="I49" s="55"/>
      <c r="J49" s="62"/>
      <c r="K49" s="55"/>
    </row>
    <row r="50" spans="1:11" x14ac:dyDescent="0.25">
      <c r="A50" s="40"/>
      <c r="B50" s="40"/>
      <c r="C50" s="40"/>
      <c r="D50" s="40"/>
      <c r="E50" s="40"/>
      <c r="F50" s="40"/>
      <c r="G50" s="3" t="s">
        <v>117</v>
      </c>
      <c r="H50" s="55"/>
      <c r="I50" s="55"/>
      <c r="J50" s="62"/>
      <c r="K50" s="55"/>
    </row>
    <row r="51" spans="1:11" x14ac:dyDescent="0.25">
      <c r="A51" s="40"/>
      <c r="B51" s="40"/>
      <c r="C51" s="40"/>
      <c r="D51" s="40"/>
      <c r="E51" s="40"/>
      <c r="F51" s="40"/>
      <c r="G51" s="3" t="s">
        <v>118</v>
      </c>
      <c r="H51" s="55"/>
      <c r="I51" s="55"/>
      <c r="J51" s="62"/>
      <c r="K51" s="55"/>
    </row>
    <row r="52" spans="1:11" x14ac:dyDescent="0.25">
      <c r="A52" s="40"/>
      <c r="B52" s="40"/>
      <c r="C52" s="40"/>
      <c r="D52" s="40"/>
      <c r="E52" s="40"/>
      <c r="F52" s="40"/>
      <c r="G52" s="3" t="s">
        <v>119</v>
      </c>
      <c r="H52" s="55"/>
      <c r="I52" s="55"/>
      <c r="J52" s="61"/>
      <c r="K52" s="55"/>
    </row>
    <row r="53" spans="1:11" x14ac:dyDescent="0.25">
      <c r="A53" s="40"/>
      <c r="B53" s="40"/>
      <c r="C53" s="40"/>
      <c r="D53" s="40"/>
      <c r="E53" s="40"/>
      <c r="F53" s="40"/>
      <c r="G53" s="3" t="s">
        <v>120</v>
      </c>
      <c r="H53" s="55"/>
      <c r="I53" s="55"/>
      <c r="J53" s="61"/>
      <c r="K53" s="55"/>
    </row>
    <row r="54" spans="1:11" x14ac:dyDescent="0.25">
      <c r="A54" s="40"/>
      <c r="B54" s="40"/>
      <c r="C54" s="40"/>
      <c r="D54" s="40"/>
      <c r="E54" s="40"/>
      <c r="F54" s="40"/>
      <c r="G54" s="3" t="s">
        <v>121</v>
      </c>
      <c r="H54" s="55"/>
      <c r="I54" s="55"/>
      <c r="J54" s="61"/>
      <c r="K54" s="55"/>
    </row>
    <row r="55" spans="1:11" x14ac:dyDescent="0.25">
      <c r="A55" s="40"/>
      <c r="B55" s="40"/>
      <c r="C55" s="40"/>
      <c r="D55" s="40"/>
      <c r="E55" s="40"/>
      <c r="F55" s="40"/>
      <c r="G55" s="3" t="s">
        <v>122</v>
      </c>
      <c r="H55" s="55"/>
      <c r="I55" s="55"/>
      <c r="J55" s="61"/>
      <c r="K55" s="55"/>
    </row>
    <row r="56" spans="1:11" x14ac:dyDescent="0.25">
      <c r="A56" s="40"/>
      <c r="B56" s="40"/>
      <c r="C56" s="40"/>
      <c r="D56" s="40"/>
      <c r="E56" s="40"/>
      <c r="F56" s="40"/>
      <c r="G56" s="3" t="s">
        <v>123</v>
      </c>
      <c r="H56" s="55"/>
      <c r="I56" s="55"/>
      <c r="J56" s="61"/>
      <c r="K56" s="55"/>
    </row>
    <row r="57" spans="1:11" x14ac:dyDescent="0.25">
      <c r="A57" s="40"/>
      <c r="B57" s="40"/>
      <c r="C57" s="40"/>
      <c r="D57" s="40"/>
      <c r="E57" s="40"/>
      <c r="F57" s="40"/>
      <c r="G57" s="2" t="s">
        <v>40</v>
      </c>
      <c r="H57" s="40"/>
      <c r="I57" s="40"/>
      <c r="J57" s="15"/>
      <c r="K57" s="40"/>
    </row>
    <row r="58" spans="1:11" x14ac:dyDescent="0.25">
      <c r="J58" s="15"/>
    </row>
    <row r="59" spans="1:11" x14ac:dyDescent="0.25">
      <c r="J59" s="14"/>
    </row>
    <row r="60" spans="1:11" x14ac:dyDescent="0.25">
      <c r="J60" s="14"/>
    </row>
    <row r="61" spans="1:11" x14ac:dyDescent="0.25">
      <c r="J61" s="14"/>
    </row>
    <row r="62" spans="1:11" x14ac:dyDescent="0.25">
      <c r="J62" s="14"/>
    </row>
    <row r="63" spans="1:11" x14ac:dyDescent="0.25">
      <c r="J63" s="14"/>
    </row>
    <row r="64" spans="1:11" x14ac:dyDescent="0.25">
      <c r="J64" s="14"/>
    </row>
    <row r="65" spans="10:10" x14ac:dyDescent="0.25">
      <c r="J65" s="14"/>
    </row>
    <row r="66" spans="10:10" x14ac:dyDescent="0.25">
      <c r="J66" s="14"/>
    </row>
    <row r="67" spans="10:10" x14ac:dyDescent="0.25">
      <c r="J67" s="14"/>
    </row>
    <row r="68" spans="10:10" x14ac:dyDescent="0.25">
      <c r="J68" s="14"/>
    </row>
    <row r="69" spans="10:10" x14ac:dyDescent="0.25">
      <c r="J69" s="14"/>
    </row>
    <row r="70" spans="10:10" x14ac:dyDescent="0.25">
      <c r="J70" s="14"/>
    </row>
    <row r="71" spans="10:10" x14ac:dyDescent="0.25">
      <c r="J71" s="14"/>
    </row>
    <row r="72" spans="10:10" x14ac:dyDescent="0.25">
      <c r="J72" s="14"/>
    </row>
    <row r="73" spans="10:10" x14ac:dyDescent="0.25">
      <c r="J73" s="14"/>
    </row>
    <row r="74" spans="10:10" x14ac:dyDescent="0.25">
      <c r="J74" s="14"/>
    </row>
    <row r="75" spans="10:10" x14ac:dyDescent="0.25">
      <c r="J75" s="14"/>
    </row>
    <row r="76" spans="10:10" x14ac:dyDescent="0.25">
      <c r="J76" s="14"/>
    </row>
    <row r="77" spans="10:10" x14ac:dyDescent="0.25">
      <c r="J77" s="14"/>
    </row>
    <row r="78" spans="10:10" x14ac:dyDescent="0.25">
      <c r="J78" s="14"/>
    </row>
    <row r="79" spans="10:10" x14ac:dyDescent="0.25">
      <c r="J79" s="14"/>
    </row>
    <row r="80" spans="10:10" x14ac:dyDescent="0.25">
      <c r="J80" s="14"/>
    </row>
    <row r="81" spans="10:10" x14ac:dyDescent="0.25">
      <c r="J81" s="14"/>
    </row>
    <row r="82" spans="10:10" x14ac:dyDescent="0.25">
      <c r="J82" s="14"/>
    </row>
    <row r="83" spans="10:10" x14ac:dyDescent="0.25">
      <c r="J83" s="14"/>
    </row>
    <row r="84" spans="10:10" x14ac:dyDescent="0.25">
      <c r="J84" s="14"/>
    </row>
    <row r="85" spans="10:10" x14ac:dyDescent="0.25">
      <c r="J85" s="14"/>
    </row>
    <row r="86" spans="10:10" x14ac:dyDescent="0.25">
      <c r="J86" s="14"/>
    </row>
    <row r="87" spans="10:10" x14ac:dyDescent="0.25">
      <c r="J87" s="14"/>
    </row>
    <row r="88" spans="10:10" x14ac:dyDescent="0.25">
      <c r="J88" s="14"/>
    </row>
    <row r="89" spans="10:10" x14ac:dyDescent="0.25">
      <c r="J89" s="14"/>
    </row>
    <row r="90" spans="10:10" x14ac:dyDescent="0.25">
      <c r="J90" s="14"/>
    </row>
    <row r="91" spans="10:10" x14ac:dyDescent="0.25">
      <c r="J91" s="14"/>
    </row>
    <row r="92" spans="10:10" x14ac:dyDescent="0.25">
      <c r="J92" s="14"/>
    </row>
    <row r="93" spans="10:10" x14ac:dyDescent="0.25">
      <c r="J93" s="14"/>
    </row>
    <row r="94" spans="10:10" x14ac:dyDescent="0.25">
      <c r="J94" s="14"/>
    </row>
    <row r="95" spans="10:10" x14ac:dyDescent="0.25">
      <c r="J95" s="14"/>
    </row>
    <row r="96" spans="10:10" x14ac:dyDescent="0.25">
      <c r="J96" s="14"/>
    </row>
    <row r="97" spans="10:10" x14ac:dyDescent="0.25">
      <c r="J97" s="14"/>
    </row>
    <row r="98" spans="10:10" x14ac:dyDescent="0.25">
      <c r="J98" s="14"/>
    </row>
    <row r="99" spans="10:10" x14ac:dyDescent="0.25">
      <c r="J99" s="14"/>
    </row>
    <row r="100" spans="10:10" x14ac:dyDescent="0.25">
      <c r="J100" s="14"/>
    </row>
    <row r="101" spans="10:10" x14ac:dyDescent="0.25">
      <c r="J101" s="14"/>
    </row>
    <row r="102" spans="10:10" x14ac:dyDescent="0.25">
      <c r="J102" s="14"/>
    </row>
    <row r="103" spans="10:10" x14ac:dyDescent="0.25">
      <c r="J103" s="14"/>
    </row>
    <row r="104" spans="10:10" x14ac:dyDescent="0.25">
      <c r="J104" s="14"/>
    </row>
    <row r="105" spans="10:10" x14ac:dyDescent="0.25">
      <c r="J105" s="14"/>
    </row>
    <row r="106" spans="10:10" x14ac:dyDescent="0.25">
      <c r="J106" s="14"/>
    </row>
    <row r="107" spans="10:10" x14ac:dyDescent="0.25">
      <c r="J107" s="14"/>
    </row>
    <row r="108" spans="10:10" x14ac:dyDescent="0.25">
      <c r="J108" s="14"/>
    </row>
    <row r="109" spans="10:10" x14ac:dyDescent="0.25">
      <c r="J109" s="14"/>
    </row>
    <row r="110" spans="10:10" x14ac:dyDescent="0.25">
      <c r="J110" s="14"/>
    </row>
    <row r="111" spans="10:10" x14ac:dyDescent="0.25">
      <c r="J111" s="14"/>
    </row>
    <row r="112" spans="10:10" x14ac:dyDescent="0.25">
      <c r="J112" s="14"/>
    </row>
    <row r="113" spans="10:10" x14ac:dyDescent="0.25">
      <c r="J113" s="14"/>
    </row>
    <row r="114" spans="10:10" x14ac:dyDescent="0.25">
      <c r="J114" s="14"/>
    </row>
    <row r="115" spans="10:10" x14ac:dyDescent="0.25">
      <c r="J115" s="14"/>
    </row>
    <row r="116" spans="10:10" x14ac:dyDescent="0.25">
      <c r="J116" s="14"/>
    </row>
    <row r="117" spans="10:10" x14ac:dyDescent="0.25">
      <c r="J117" s="14"/>
    </row>
    <row r="118" spans="10:10" x14ac:dyDescent="0.25">
      <c r="J118" s="14"/>
    </row>
    <row r="119" spans="10:10" x14ac:dyDescent="0.25">
      <c r="J119" s="14"/>
    </row>
    <row r="120" spans="10:10" x14ac:dyDescent="0.25">
      <c r="J120" s="14"/>
    </row>
    <row r="121" spans="10:10" x14ac:dyDescent="0.25">
      <c r="J121" s="14"/>
    </row>
    <row r="122" spans="10:10" x14ac:dyDescent="0.25">
      <c r="J122" s="14"/>
    </row>
    <row r="123" spans="10:10" x14ac:dyDescent="0.25">
      <c r="J123" s="14"/>
    </row>
    <row r="124" spans="10:10" x14ac:dyDescent="0.25">
      <c r="J124" s="14"/>
    </row>
    <row r="125" spans="10:10" x14ac:dyDescent="0.25">
      <c r="J125" s="14"/>
    </row>
    <row r="126" spans="10:10" x14ac:dyDescent="0.25">
      <c r="J126" s="14"/>
    </row>
    <row r="127" spans="10:10" x14ac:dyDescent="0.25">
      <c r="J127" s="14"/>
    </row>
    <row r="128" spans="10:10" x14ac:dyDescent="0.25">
      <c r="J128" s="14"/>
    </row>
    <row r="129" spans="10:10" x14ac:dyDescent="0.25">
      <c r="J129" s="14"/>
    </row>
    <row r="130" spans="10:10" x14ac:dyDescent="0.25">
      <c r="J130" s="14"/>
    </row>
    <row r="131" spans="10:10" x14ac:dyDescent="0.25">
      <c r="J131" s="14"/>
    </row>
    <row r="132" spans="10:10" x14ac:dyDescent="0.25">
      <c r="J132" s="14"/>
    </row>
    <row r="133" spans="10:10" x14ac:dyDescent="0.25">
      <c r="J133" s="14"/>
    </row>
    <row r="134" spans="10:10" x14ac:dyDescent="0.25">
      <c r="J134" s="14"/>
    </row>
    <row r="135" spans="10:10" x14ac:dyDescent="0.25">
      <c r="J135" s="14"/>
    </row>
    <row r="136" spans="10:10" x14ac:dyDescent="0.25">
      <c r="J136" s="14"/>
    </row>
    <row r="137" spans="10:10" x14ac:dyDescent="0.25">
      <c r="J137" s="14"/>
    </row>
    <row r="138" spans="10:10" x14ac:dyDescent="0.25">
      <c r="J138" s="14"/>
    </row>
    <row r="139" spans="10:10" x14ac:dyDescent="0.25">
      <c r="J139" s="14"/>
    </row>
    <row r="140" spans="10:10" x14ac:dyDescent="0.25">
      <c r="J140" s="14"/>
    </row>
    <row r="141" spans="10:10" x14ac:dyDescent="0.25">
      <c r="J141" s="14"/>
    </row>
    <row r="142" spans="10:10" x14ac:dyDescent="0.25">
      <c r="J142" s="14"/>
    </row>
    <row r="143" spans="10:10" x14ac:dyDescent="0.25">
      <c r="J143" s="14"/>
    </row>
    <row r="144" spans="10:10" x14ac:dyDescent="0.25">
      <c r="J144" s="14"/>
    </row>
    <row r="145" spans="10:10" x14ac:dyDescent="0.25">
      <c r="J145" s="14"/>
    </row>
    <row r="146" spans="10:10" x14ac:dyDescent="0.25">
      <c r="J146" s="14"/>
    </row>
    <row r="147" spans="10:10" x14ac:dyDescent="0.25">
      <c r="J147" s="14"/>
    </row>
    <row r="148" spans="10:10" x14ac:dyDescent="0.25">
      <c r="J148" s="14"/>
    </row>
    <row r="149" spans="10:10" x14ac:dyDescent="0.25">
      <c r="J149" s="14"/>
    </row>
    <row r="150" spans="10:10" x14ac:dyDescent="0.25">
      <c r="J150" s="14"/>
    </row>
    <row r="151" spans="10:10" x14ac:dyDescent="0.25">
      <c r="J151" s="14"/>
    </row>
    <row r="152" spans="10:10" x14ac:dyDescent="0.25">
      <c r="J152" s="14"/>
    </row>
    <row r="153" spans="10:10" x14ac:dyDescent="0.25">
      <c r="J153" s="14"/>
    </row>
    <row r="154" spans="10:10" x14ac:dyDescent="0.25">
      <c r="J154" s="14"/>
    </row>
    <row r="155" spans="10:10" x14ac:dyDescent="0.25">
      <c r="J155" s="14"/>
    </row>
    <row r="156" spans="10:10" x14ac:dyDescent="0.25">
      <c r="J156" s="14"/>
    </row>
    <row r="157" spans="10:10" x14ac:dyDescent="0.25">
      <c r="J157" s="14"/>
    </row>
    <row r="158" spans="10:10" x14ac:dyDescent="0.25">
      <c r="J158" s="14"/>
    </row>
    <row r="159" spans="10:10" x14ac:dyDescent="0.25">
      <c r="J159" s="14"/>
    </row>
    <row r="160" spans="10:10" x14ac:dyDescent="0.25">
      <c r="J160" s="14"/>
    </row>
    <row r="161" spans="10:10" x14ac:dyDescent="0.25">
      <c r="J161" s="14"/>
    </row>
    <row r="162" spans="10:10" x14ac:dyDescent="0.25">
      <c r="J162" s="14"/>
    </row>
    <row r="163" spans="10:10" x14ac:dyDescent="0.25">
      <c r="J163" s="14"/>
    </row>
    <row r="164" spans="10:10" x14ac:dyDescent="0.25">
      <c r="J164" s="14"/>
    </row>
    <row r="165" spans="10:10" x14ac:dyDescent="0.25">
      <c r="J165" s="14"/>
    </row>
    <row r="166" spans="10:10" x14ac:dyDescent="0.25">
      <c r="J166" s="14"/>
    </row>
    <row r="167" spans="10:10" x14ac:dyDescent="0.25">
      <c r="J167" s="14"/>
    </row>
    <row r="168" spans="10:10" x14ac:dyDescent="0.25">
      <c r="J168" s="14"/>
    </row>
    <row r="169" spans="10:10" x14ac:dyDescent="0.25">
      <c r="J169" s="14"/>
    </row>
    <row r="170" spans="10:10" x14ac:dyDescent="0.25">
      <c r="J170" s="14"/>
    </row>
    <row r="171" spans="10:10" x14ac:dyDescent="0.25">
      <c r="J171" s="14"/>
    </row>
    <row r="172" spans="10:10" x14ac:dyDescent="0.25">
      <c r="J172" s="14"/>
    </row>
    <row r="173" spans="10:10" x14ac:dyDescent="0.25">
      <c r="J173" s="14"/>
    </row>
    <row r="174" spans="10:10" x14ac:dyDescent="0.25">
      <c r="J174" s="14"/>
    </row>
    <row r="175" spans="10:10" x14ac:dyDescent="0.25">
      <c r="J175" s="14"/>
    </row>
    <row r="176" spans="10:10" x14ac:dyDescent="0.25">
      <c r="J176" s="14"/>
    </row>
    <row r="177" spans="10:10" x14ac:dyDescent="0.25">
      <c r="J177" s="14"/>
    </row>
    <row r="178" spans="10:10" x14ac:dyDescent="0.25">
      <c r="J178" s="14"/>
    </row>
    <row r="179" spans="10:10" x14ac:dyDescent="0.25">
      <c r="J179" s="14"/>
    </row>
    <row r="180" spans="10:10" x14ac:dyDescent="0.25">
      <c r="J180" s="14"/>
    </row>
    <row r="181" spans="10:10" x14ac:dyDescent="0.25">
      <c r="J181" s="14"/>
    </row>
    <row r="182" spans="10:10" x14ac:dyDescent="0.25">
      <c r="J182" s="14"/>
    </row>
    <row r="183" spans="10:10" x14ac:dyDescent="0.25">
      <c r="J183" s="14"/>
    </row>
    <row r="184" spans="10:10" x14ac:dyDescent="0.25">
      <c r="J184" s="14"/>
    </row>
    <row r="185" spans="10:10" x14ac:dyDescent="0.25">
      <c r="J185" s="15"/>
    </row>
    <row r="186" spans="10:10" x14ac:dyDescent="0.25">
      <c r="J186" s="15"/>
    </row>
    <row r="187" spans="10:10" x14ac:dyDescent="0.25">
      <c r="J187" s="15"/>
    </row>
    <row r="188" spans="10:10" x14ac:dyDescent="0.25">
      <c r="J188" s="15"/>
    </row>
    <row r="189" spans="10:10" x14ac:dyDescent="0.25">
      <c r="J189" s="15"/>
    </row>
    <row r="190" spans="10:10" x14ac:dyDescent="0.25">
      <c r="J190" s="15"/>
    </row>
    <row r="191" spans="10:10" x14ac:dyDescent="0.25">
      <c r="J191" s="15"/>
    </row>
    <row r="192" spans="10:10" x14ac:dyDescent="0.25">
      <c r="J192" s="14"/>
    </row>
    <row r="193" spans="10:10" x14ac:dyDescent="0.25">
      <c r="J193" s="14"/>
    </row>
    <row r="194" spans="10:10" x14ac:dyDescent="0.25">
      <c r="J194" s="14"/>
    </row>
    <row r="195" spans="10:10" x14ac:dyDescent="0.25">
      <c r="J195" s="14"/>
    </row>
    <row r="196" spans="10:10" x14ac:dyDescent="0.25">
      <c r="J196" s="14"/>
    </row>
    <row r="197" spans="10:10" x14ac:dyDescent="0.25">
      <c r="J197" s="14"/>
    </row>
    <row r="198" spans="10:10" x14ac:dyDescent="0.25">
      <c r="J198" s="14"/>
    </row>
    <row r="199" spans="10:10" x14ac:dyDescent="0.25">
      <c r="J199" s="14"/>
    </row>
    <row r="200" spans="10:10" x14ac:dyDescent="0.25">
      <c r="J200" s="14"/>
    </row>
    <row r="201" spans="10:10" x14ac:dyDescent="0.25">
      <c r="J201" s="14"/>
    </row>
    <row r="202" spans="10:10" x14ac:dyDescent="0.25">
      <c r="J202" s="14"/>
    </row>
    <row r="203" spans="10:10" x14ac:dyDescent="0.25">
      <c r="J203" s="14"/>
    </row>
    <row r="204" spans="10:10" x14ac:dyDescent="0.25">
      <c r="J204" s="14"/>
    </row>
    <row r="205" spans="10:10" x14ac:dyDescent="0.25">
      <c r="J205" s="14"/>
    </row>
    <row r="206" spans="10:10" x14ac:dyDescent="0.25">
      <c r="J206" s="14"/>
    </row>
    <row r="207" spans="10:10" x14ac:dyDescent="0.25">
      <c r="J207" s="14"/>
    </row>
    <row r="208" spans="10:10" x14ac:dyDescent="0.25">
      <c r="J208" s="14"/>
    </row>
    <row r="209" spans="10:10" x14ac:dyDescent="0.25">
      <c r="J209" s="14"/>
    </row>
    <row r="210" spans="10:10" x14ac:dyDescent="0.25">
      <c r="J210" s="14"/>
    </row>
    <row r="211" spans="10:10" x14ac:dyDescent="0.25">
      <c r="J211" s="14"/>
    </row>
    <row r="212" spans="10:10" x14ac:dyDescent="0.25">
      <c r="J212" s="14"/>
    </row>
    <row r="213" spans="10:10" x14ac:dyDescent="0.25">
      <c r="J213" s="14"/>
    </row>
    <row r="214" spans="10:10" x14ac:dyDescent="0.25">
      <c r="J214" s="14"/>
    </row>
    <row r="215" spans="10:10" x14ac:dyDescent="0.25">
      <c r="J215" s="14"/>
    </row>
    <row r="216" spans="10:10" x14ac:dyDescent="0.25">
      <c r="J216" s="14"/>
    </row>
    <row r="217" spans="10:10" x14ac:dyDescent="0.25">
      <c r="J217" s="14"/>
    </row>
    <row r="218" spans="10:10" x14ac:dyDescent="0.25">
      <c r="J218" s="14"/>
    </row>
    <row r="219" spans="10:10" x14ac:dyDescent="0.25">
      <c r="J219" s="14"/>
    </row>
    <row r="220" spans="10:10" x14ac:dyDescent="0.25">
      <c r="J220" s="14"/>
    </row>
    <row r="221" spans="10:10" x14ac:dyDescent="0.25">
      <c r="J221" s="14"/>
    </row>
    <row r="222" spans="10:10" x14ac:dyDescent="0.25">
      <c r="J222" s="14"/>
    </row>
    <row r="223" spans="10:10" x14ac:dyDescent="0.25">
      <c r="J223" s="14"/>
    </row>
    <row r="224" spans="10:10" x14ac:dyDescent="0.25">
      <c r="J224" s="14"/>
    </row>
    <row r="225" spans="10:10" x14ac:dyDescent="0.25">
      <c r="J225" s="14"/>
    </row>
    <row r="226" spans="10:10" x14ac:dyDescent="0.25">
      <c r="J226" s="14"/>
    </row>
    <row r="227" spans="10:10" x14ac:dyDescent="0.25">
      <c r="J227" s="14"/>
    </row>
    <row r="228" spans="10:10" x14ac:dyDescent="0.25">
      <c r="J228" s="14"/>
    </row>
    <row r="229" spans="10:10" x14ac:dyDescent="0.25">
      <c r="J229" s="14"/>
    </row>
    <row r="230" spans="10:10" x14ac:dyDescent="0.25">
      <c r="J230" s="14"/>
    </row>
    <row r="231" spans="10:10" x14ac:dyDescent="0.25">
      <c r="J231" s="14"/>
    </row>
    <row r="232" spans="10:10" x14ac:dyDescent="0.25">
      <c r="J232" s="14"/>
    </row>
    <row r="233" spans="10:10" x14ac:dyDescent="0.25">
      <c r="J233" s="14"/>
    </row>
    <row r="234" spans="10:10" x14ac:dyDescent="0.25">
      <c r="J234" s="14"/>
    </row>
    <row r="235" spans="10:10" x14ac:dyDescent="0.25">
      <c r="J235" s="14"/>
    </row>
    <row r="236" spans="10:10" x14ac:dyDescent="0.25">
      <c r="J236" s="14"/>
    </row>
    <row r="237" spans="10:10" x14ac:dyDescent="0.25">
      <c r="J237" s="14"/>
    </row>
    <row r="238" spans="10:10" x14ac:dyDescent="0.25">
      <c r="J238" s="14"/>
    </row>
    <row r="239" spans="10:10" x14ac:dyDescent="0.25">
      <c r="J239" s="14"/>
    </row>
    <row r="240" spans="10:10" x14ac:dyDescent="0.25">
      <c r="J240" s="14"/>
    </row>
    <row r="241" spans="10:10" x14ac:dyDescent="0.25">
      <c r="J241" s="14"/>
    </row>
    <row r="242" spans="10:10" x14ac:dyDescent="0.25">
      <c r="J242" s="14"/>
    </row>
    <row r="243" spans="10:10" x14ac:dyDescent="0.25">
      <c r="J243" s="14"/>
    </row>
    <row r="244" spans="10:10" x14ac:dyDescent="0.25">
      <c r="J244" s="14"/>
    </row>
    <row r="245" spans="10:10" x14ac:dyDescent="0.25">
      <c r="J245" s="14"/>
    </row>
    <row r="246" spans="10:10" x14ac:dyDescent="0.25">
      <c r="J246" s="14"/>
    </row>
    <row r="247" spans="10:10" x14ac:dyDescent="0.25">
      <c r="J247" s="14"/>
    </row>
    <row r="248" spans="10:10" x14ac:dyDescent="0.25">
      <c r="J248" s="14"/>
    </row>
    <row r="249" spans="10:10" x14ac:dyDescent="0.25">
      <c r="J249" s="14"/>
    </row>
    <row r="250" spans="10:10" x14ac:dyDescent="0.25">
      <c r="J250" s="14"/>
    </row>
    <row r="251" spans="10:10" x14ac:dyDescent="0.25">
      <c r="J251" s="14"/>
    </row>
    <row r="252" spans="10:10" x14ac:dyDescent="0.25">
      <c r="J252" s="14"/>
    </row>
    <row r="253" spans="10:10" x14ac:dyDescent="0.25">
      <c r="J253" s="14"/>
    </row>
    <row r="254" spans="10:10" x14ac:dyDescent="0.25">
      <c r="J254" s="14"/>
    </row>
    <row r="255" spans="10:10" x14ac:dyDescent="0.25">
      <c r="J255" s="14"/>
    </row>
    <row r="256" spans="10:10" x14ac:dyDescent="0.25">
      <c r="J256" s="14"/>
    </row>
    <row r="257" spans="10:10" x14ac:dyDescent="0.25">
      <c r="J257" s="14"/>
    </row>
    <row r="258" spans="10:10" x14ac:dyDescent="0.25">
      <c r="J258" s="14"/>
    </row>
    <row r="259" spans="10:10" x14ac:dyDescent="0.25">
      <c r="J259" s="14"/>
    </row>
    <row r="260" spans="10:10" x14ac:dyDescent="0.25">
      <c r="J260" s="14"/>
    </row>
    <row r="261" spans="10:10" x14ac:dyDescent="0.25">
      <c r="J261" s="14"/>
    </row>
    <row r="262" spans="10:10" x14ac:dyDescent="0.25">
      <c r="J262" s="14"/>
    </row>
    <row r="263" spans="10:10" x14ac:dyDescent="0.25">
      <c r="J263" s="14"/>
    </row>
    <row r="264" spans="10:10" x14ac:dyDescent="0.25">
      <c r="J264" s="14"/>
    </row>
    <row r="265" spans="10:10" x14ac:dyDescent="0.25">
      <c r="J265" s="14"/>
    </row>
    <row r="266" spans="10:10" x14ac:dyDescent="0.25">
      <c r="J266" s="14"/>
    </row>
    <row r="267" spans="10:10" x14ac:dyDescent="0.25">
      <c r="J267" s="14"/>
    </row>
    <row r="268" spans="10:10" x14ac:dyDescent="0.25">
      <c r="J268" s="14"/>
    </row>
    <row r="269" spans="10:10" x14ac:dyDescent="0.25">
      <c r="J269" s="14"/>
    </row>
    <row r="270" spans="10:10" x14ac:dyDescent="0.25">
      <c r="J270" s="14"/>
    </row>
    <row r="271" spans="10:10" x14ac:dyDescent="0.25">
      <c r="J271" s="14"/>
    </row>
    <row r="272" spans="10:10" x14ac:dyDescent="0.25">
      <c r="J272" s="14"/>
    </row>
    <row r="273" spans="10:10" x14ac:dyDescent="0.25">
      <c r="J273" s="14"/>
    </row>
    <row r="274" spans="10:10" x14ac:dyDescent="0.25">
      <c r="J274" s="14"/>
    </row>
    <row r="275" spans="10:10" x14ac:dyDescent="0.25">
      <c r="J275" s="14"/>
    </row>
    <row r="276" spans="10:10" x14ac:dyDescent="0.25">
      <c r="J276" s="14"/>
    </row>
    <row r="277" spans="10:10" x14ac:dyDescent="0.25">
      <c r="J277" s="14"/>
    </row>
    <row r="278" spans="10:10" x14ac:dyDescent="0.25">
      <c r="J278" s="14"/>
    </row>
    <row r="279" spans="10:10" x14ac:dyDescent="0.25">
      <c r="J279" s="14"/>
    </row>
    <row r="280" spans="10:10" x14ac:dyDescent="0.25">
      <c r="J280" s="14"/>
    </row>
    <row r="281" spans="10:10" x14ac:dyDescent="0.25">
      <c r="J281" s="14"/>
    </row>
    <row r="282" spans="10:10" x14ac:dyDescent="0.25">
      <c r="J282" s="14"/>
    </row>
    <row r="283" spans="10:10" x14ac:dyDescent="0.25">
      <c r="J283" s="14"/>
    </row>
    <row r="284" spans="10:10" x14ac:dyDescent="0.25">
      <c r="J284" s="14"/>
    </row>
    <row r="285" spans="10:10" x14ac:dyDescent="0.25">
      <c r="J285" s="14"/>
    </row>
    <row r="286" spans="10:10" x14ac:dyDescent="0.25">
      <c r="J286" s="14"/>
    </row>
    <row r="287" spans="10:10" x14ac:dyDescent="0.25">
      <c r="J287" s="14"/>
    </row>
    <row r="288" spans="10:10" x14ac:dyDescent="0.25">
      <c r="J288" s="14"/>
    </row>
    <row r="289" spans="10:10" x14ac:dyDescent="0.25">
      <c r="J289" s="14"/>
    </row>
    <row r="290" spans="10:10" x14ac:dyDescent="0.25">
      <c r="J290" s="14"/>
    </row>
    <row r="291" spans="10:10" x14ac:dyDescent="0.25">
      <c r="J291" s="14"/>
    </row>
    <row r="292" spans="10:10" x14ac:dyDescent="0.25">
      <c r="J292" s="14"/>
    </row>
    <row r="293" spans="10:10" x14ac:dyDescent="0.25">
      <c r="J293" s="14"/>
    </row>
    <row r="294" spans="10:10" x14ac:dyDescent="0.25">
      <c r="J294" s="14"/>
    </row>
    <row r="295" spans="10:10" x14ac:dyDescent="0.25">
      <c r="J295" s="14"/>
    </row>
    <row r="296" spans="10:10" x14ac:dyDescent="0.25">
      <c r="J296" s="14"/>
    </row>
    <row r="297" spans="10:10" x14ac:dyDescent="0.25">
      <c r="J297" s="14"/>
    </row>
    <row r="298" spans="10:10" x14ac:dyDescent="0.25">
      <c r="J298" s="14"/>
    </row>
    <row r="299" spans="10:10" x14ac:dyDescent="0.25">
      <c r="J299" s="14"/>
    </row>
    <row r="300" spans="10:10" x14ac:dyDescent="0.25">
      <c r="J300" s="14"/>
    </row>
    <row r="301" spans="10:10" x14ac:dyDescent="0.25">
      <c r="J301" s="14"/>
    </row>
    <row r="302" spans="10:10" x14ac:dyDescent="0.25">
      <c r="J302" s="14"/>
    </row>
    <row r="303" spans="10:10" x14ac:dyDescent="0.25">
      <c r="J303" s="14"/>
    </row>
    <row r="304" spans="10:10" x14ac:dyDescent="0.25">
      <c r="J304" s="14"/>
    </row>
    <row r="305" spans="10:10" x14ac:dyDescent="0.25">
      <c r="J305" s="14"/>
    </row>
    <row r="306" spans="10:10" x14ac:dyDescent="0.25">
      <c r="J306" s="14"/>
    </row>
    <row r="307" spans="10:10" x14ac:dyDescent="0.25">
      <c r="J307" s="14"/>
    </row>
    <row r="308" spans="10:10" x14ac:dyDescent="0.25">
      <c r="J308" s="14"/>
    </row>
    <row r="309" spans="10:10" x14ac:dyDescent="0.25">
      <c r="J309" s="14"/>
    </row>
    <row r="310" spans="10:10" x14ac:dyDescent="0.25">
      <c r="J310" s="14"/>
    </row>
    <row r="311" spans="10:10" x14ac:dyDescent="0.25">
      <c r="J311" s="14"/>
    </row>
    <row r="312" spans="10:10" x14ac:dyDescent="0.25">
      <c r="J312" s="14"/>
    </row>
    <row r="313" spans="10:10" x14ac:dyDescent="0.25">
      <c r="J313" s="14"/>
    </row>
    <row r="314" spans="10:10" x14ac:dyDescent="0.25">
      <c r="J314" s="14"/>
    </row>
    <row r="315" spans="10:10" x14ac:dyDescent="0.25">
      <c r="J315" s="14"/>
    </row>
    <row r="316" spans="10:10" x14ac:dyDescent="0.25">
      <c r="J316" s="14"/>
    </row>
    <row r="317" spans="10:10" x14ac:dyDescent="0.25">
      <c r="J317" s="14"/>
    </row>
    <row r="318" spans="10:10" x14ac:dyDescent="0.25">
      <c r="J318" s="14"/>
    </row>
    <row r="319" spans="10:10" x14ac:dyDescent="0.25">
      <c r="J319" s="14"/>
    </row>
    <row r="320" spans="10:10" x14ac:dyDescent="0.25">
      <c r="J320" s="14"/>
    </row>
    <row r="321" spans="10:10" x14ac:dyDescent="0.25">
      <c r="J321" s="14"/>
    </row>
    <row r="322" spans="10:10" x14ac:dyDescent="0.25">
      <c r="J322" s="14"/>
    </row>
    <row r="323" spans="10:10" x14ac:dyDescent="0.25">
      <c r="J323" s="14"/>
    </row>
    <row r="324" spans="10:10" x14ac:dyDescent="0.25">
      <c r="J324" s="14"/>
    </row>
    <row r="325" spans="10:10" x14ac:dyDescent="0.25">
      <c r="J325" s="15"/>
    </row>
    <row r="326" spans="10:10" x14ac:dyDescent="0.25">
      <c r="J326" s="15"/>
    </row>
    <row r="327" spans="10:10" x14ac:dyDescent="0.25">
      <c r="J327" s="15"/>
    </row>
    <row r="328" spans="10:10" x14ac:dyDescent="0.25">
      <c r="J328" s="15"/>
    </row>
    <row r="329" spans="10:10" x14ac:dyDescent="0.25">
      <c r="J329" s="15"/>
    </row>
    <row r="330" spans="10:10" x14ac:dyDescent="0.25">
      <c r="J330" s="15"/>
    </row>
    <row r="331" spans="10:10" x14ac:dyDescent="0.25">
      <c r="J331" s="15"/>
    </row>
    <row r="332" spans="10:10" x14ac:dyDescent="0.25">
      <c r="J332" s="14"/>
    </row>
    <row r="333" spans="10:10" x14ac:dyDescent="0.25">
      <c r="J333" s="14"/>
    </row>
    <row r="334" spans="10:10" x14ac:dyDescent="0.25">
      <c r="J334" s="14"/>
    </row>
    <row r="335" spans="10:10" x14ac:dyDescent="0.25">
      <c r="J335" s="14"/>
    </row>
    <row r="336" spans="10:10" x14ac:dyDescent="0.25">
      <c r="J336" s="14"/>
    </row>
    <row r="337" spans="10:10" x14ac:dyDescent="0.25">
      <c r="J337" s="14"/>
    </row>
    <row r="338" spans="10:10" x14ac:dyDescent="0.25">
      <c r="J338" s="14"/>
    </row>
    <row r="339" spans="10:10" x14ac:dyDescent="0.25">
      <c r="J339" s="15"/>
    </row>
    <row r="340" spans="10:10" x14ac:dyDescent="0.25">
      <c r="J340" s="15"/>
    </row>
    <row r="341" spans="10:10" x14ac:dyDescent="0.25">
      <c r="J341" s="15"/>
    </row>
    <row r="342" spans="10:10" x14ac:dyDescent="0.25">
      <c r="J342" s="15"/>
    </row>
    <row r="343" spans="10:10" x14ac:dyDescent="0.25">
      <c r="J343" s="15"/>
    </row>
    <row r="344" spans="10:10" x14ac:dyDescent="0.25">
      <c r="J344" s="15"/>
    </row>
    <row r="345" spans="10:10" x14ac:dyDescent="0.25">
      <c r="J345" s="15"/>
    </row>
    <row r="346" spans="10:10" x14ac:dyDescent="0.25">
      <c r="J346" s="15"/>
    </row>
    <row r="347" spans="10:10" x14ac:dyDescent="0.25">
      <c r="J347" s="15"/>
    </row>
    <row r="348" spans="10:10" x14ac:dyDescent="0.25">
      <c r="J348" s="15"/>
    </row>
    <row r="349" spans="10:10" x14ac:dyDescent="0.25">
      <c r="J349" s="15"/>
    </row>
    <row r="350" spans="10:10" x14ac:dyDescent="0.25">
      <c r="J350" s="15"/>
    </row>
    <row r="351" spans="10:10" x14ac:dyDescent="0.25">
      <c r="J351" s="15"/>
    </row>
    <row r="352" spans="10:10" x14ac:dyDescent="0.25">
      <c r="J352" s="15"/>
    </row>
    <row r="353" spans="10:10" x14ac:dyDescent="0.25">
      <c r="J353" s="14"/>
    </row>
    <row r="354" spans="10:10" x14ac:dyDescent="0.25">
      <c r="J354" s="14"/>
    </row>
    <row r="355" spans="10:10" x14ac:dyDescent="0.25">
      <c r="J355" s="14"/>
    </row>
    <row r="356" spans="10:10" x14ac:dyDescent="0.25">
      <c r="J356" s="14"/>
    </row>
    <row r="357" spans="10:10" x14ac:dyDescent="0.25">
      <c r="J357" s="14"/>
    </row>
    <row r="358" spans="10:10" x14ac:dyDescent="0.25">
      <c r="J358" s="14"/>
    </row>
    <row r="359" spans="10:10" x14ac:dyDescent="0.25">
      <c r="J359" s="14"/>
    </row>
    <row r="360" spans="10:10" x14ac:dyDescent="0.25">
      <c r="J360" s="14"/>
    </row>
    <row r="361" spans="10:10" x14ac:dyDescent="0.25">
      <c r="J361" s="14"/>
    </row>
    <row r="362" spans="10:10" x14ac:dyDescent="0.25">
      <c r="J362" s="14"/>
    </row>
    <row r="363" spans="10:10" x14ac:dyDescent="0.25">
      <c r="J363" s="14"/>
    </row>
    <row r="364" spans="10:10" x14ac:dyDescent="0.25">
      <c r="J364" s="14"/>
    </row>
    <row r="365" spans="10:10" x14ac:dyDescent="0.25">
      <c r="J365" s="14"/>
    </row>
    <row r="366" spans="10:10" x14ac:dyDescent="0.25">
      <c r="J366" s="14"/>
    </row>
    <row r="367" spans="10:10" x14ac:dyDescent="0.25">
      <c r="J367" s="14"/>
    </row>
    <row r="368" spans="10:10" x14ac:dyDescent="0.25">
      <c r="J368" s="14"/>
    </row>
    <row r="369" spans="10:10" x14ac:dyDescent="0.25">
      <c r="J369" s="14"/>
    </row>
    <row r="370" spans="10:10" x14ac:dyDescent="0.25">
      <c r="J370" s="14"/>
    </row>
    <row r="371" spans="10:10" x14ac:dyDescent="0.25">
      <c r="J371" s="14"/>
    </row>
    <row r="372" spans="10:10" x14ac:dyDescent="0.25">
      <c r="J372" s="14"/>
    </row>
    <row r="373" spans="10:10" x14ac:dyDescent="0.25">
      <c r="J373" s="14"/>
    </row>
    <row r="374" spans="10:10" x14ac:dyDescent="0.25">
      <c r="J374" s="14"/>
    </row>
    <row r="375" spans="10:10" x14ac:dyDescent="0.25">
      <c r="J375" s="14"/>
    </row>
    <row r="376" spans="10:10" x14ac:dyDescent="0.25">
      <c r="J376" s="14"/>
    </row>
    <row r="377" spans="10:10" x14ac:dyDescent="0.25">
      <c r="J377" s="14"/>
    </row>
    <row r="378" spans="10:10" x14ac:dyDescent="0.25">
      <c r="J378" s="14"/>
    </row>
    <row r="379" spans="10:10" x14ac:dyDescent="0.25">
      <c r="J379" s="14"/>
    </row>
    <row r="380" spans="10:10" x14ac:dyDescent="0.25">
      <c r="J380" s="14"/>
    </row>
    <row r="381" spans="10:10" x14ac:dyDescent="0.25">
      <c r="J381" s="14"/>
    </row>
    <row r="382" spans="10:10" x14ac:dyDescent="0.25">
      <c r="J382" s="14"/>
    </row>
    <row r="383" spans="10:10" x14ac:dyDescent="0.25">
      <c r="J383" s="14"/>
    </row>
    <row r="384" spans="10:10" x14ac:dyDescent="0.25">
      <c r="J384" s="14"/>
    </row>
    <row r="385" spans="10:10" x14ac:dyDescent="0.25">
      <c r="J385" s="14"/>
    </row>
    <row r="386" spans="10:10" x14ac:dyDescent="0.25">
      <c r="J386" s="14"/>
    </row>
    <row r="387" spans="10:10" x14ac:dyDescent="0.25">
      <c r="J387" s="14"/>
    </row>
    <row r="388" spans="10:10" x14ac:dyDescent="0.25">
      <c r="J388" s="14"/>
    </row>
    <row r="389" spans="10:10" x14ac:dyDescent="0.25">
      <c r="J389" s="14"/>
    </row>
    <row r="390" spans="10:10" x14ac:dyDescent="0.25">
      <c r="J390" s="14"/>
    </row>
    <row r="391" spans="10:10" x14ac:dyDescent="0.25">
      <c r="J391" s="14"/>
    </row>
    <row r="392" spans="10:10" x14ac:dyDescent="0.25">
      <c r="J392" s="14"/>
    </row>
    <row r="393" spans="10:10" x14ac:dyDescent="0.25">
      <c r="J393" s="14"/>
    </row>
    <row r="394" spans="10:10" x14ac:dyDescent="0.25">
      <c r="J394" s="14"/>
    </row>
    <row r="395" spans="10:10" x14ac:dyDescent="0.25">
      <c r="J395" s="14"/>
    </row>
    <row r="396" spans="10:10" x14ac:dyDescent="0.25">
      <c r="J396" s="14"/>
    </row>
    <row r="397" spans="10:10" x14ac:dyDescent="0.25">
      <c r="J397" s="14"/>
    </row>
    <row r="398" spans="10:10" x14ac:dyDescent="0.25">
      <c r="J398" s="14"/>
    </row>
    <row r="399" spans="10:10" x14ac:dyDescent="0.25">
      <c r="J399" s="14"/>
    </row>
    <row r="400" spans="10:10" x14ac:dyDescent="0.25">
      <c r="J400" s="14"/>
    </row>
    <row r="401" spans="10:10" x14ac:dyDescent="0.25">
      <c r="J401" s="14"/>
    </row>
    <row r="402" spans="10:10" x14ac:dyDescent="0.25">
      <c r="J402" s="14"/>
    </row>
    <row r="403" spans="10:10" x14ac:dyDescent="0.25">
      <c r="J403" s="14"/>
    </row>
    <row r="404" spans="10:10" x14ac:dyDescent="0.25">
      <c r="J404" s="14"/>
    </row>
    <row r="405" spans="10:10" x14ac:dyDescent="0.25">
      <c r="J405" s="14"/>
    </row>
    <row r="406" spans="10:10" x14ac:dyDescent="0.25">
      <c r="J406" s="14"/>
    </row>
    <row r="407" spans="10:10" x14ac:dyDescent="0.25">
      <c r="J407" s="14"/>
    </row>
    <row r="408" spans="10:10" x14ac:dyDescent="0.25">
      <c r="J408" s="14"/>
    </row>
    <row r="409" spans="10:10" x14ac:dyDescent="0.25">
      <c r="J409" s="14"/>
    </row>
    <row r="410" spans="10:10" x14ac:dyDescent="0.25">
      <c r="J410" s="14"/>
    </row>
    <row r="411" spans="10:10" x14ac:dyDescent="0.25">
      <c r="J411" s="14"/>
    </row>
    <row r="412" spans="10:10" x14ac:dyDescent="0.25">
      <c r="J412" s="14"/>
    </row>
    <row r="413" spans="10:10" x14ac:dyDescent="0.25">
      <c r="J413" s="14"/>
    </row>
    <row r="414" spans="10:10" x14ac:dyDescent="0.25">
      <c r="J414" s="14"/>
    </row>
    <row r="415" spans="10:10" x14ac:dyDescent="0.25">
      <c r="J415" s="14"/>
    </row>
    <row r="416" spans="10:10" x14ac:dyDescent="0.25">
      <c r="J416" s="14"/>
    </row>
    <row r="417" spans="10:10" x14ac:dyDescent="0.25">
      <c r="J417" s="14"/>
    </row>
    <row r="418" spans="10:10" x14ac:dyDescent="0.25">
      <c r="J418" s="14"/>
    </row>
    <row r="419" spans="10:10" x14ac:dyDescent="0.25">
      <c r="J419" s="14"/>
    </row>
    <row r="420" spans="10:10" x14ac:dyDescent="0.25">
      <c r="J420" s="14"/>
    </row>
    <row r="421" spans="10:10" x14ac:dyDescent="0.25">
      <c r="J421" s="14"/>
    </row>
    <row r="422" spans="10:10" x14ac:dyDescent="0.25">
      <c r="J422" s="14"/>
    </row>
    <row r="423" spans="10:10" x14ac:dyDescent="0.25">
      <c r="J423" s="14"/>
    </row>
    <row r="424" spans="10:10" x14ac:dyDescent="0.25">
      <c r="J424" s="14"/>
    </row>
    <row r="425" spans="10:10" x14ac:dyDescent="0.25">
      <c r="J425" s="14"/>
    </row>
    <row r="426" spans="10:10" x14ac:dyDescent="0.25">
      <c r="J426" s="14"/>
    </row>
    <row r="427" spans="10:10" x14ac:dyDescent="0.25">
      <c r="J427" s="14"/>
    </row>
    <row r="428" spans="10:10" x14ac:dyDescent="0.25">
      <c r="J428" s="14"/>
    </row>
    <row r="429" spans="10:10" x14ac:dyDescent="0.25">
      <c r="J429" s="14"/>
    </row>
    <row r="430" spans="10:10" x14ac:dyDescent="0.25">
      <c r="J430" s="15"/>
    </row>
    <row r="431" spans="10:10" x14ac:dyDescent="0.25">
      <c r="J431" s="15"/>
    </row>
    <row r="432" spans="10:10" x14ac:dyDescent="0.25">
      <c r="J432" s="15"/>
    </row>
    <row r="433" spans="10:10" x14ac:dyDescent="0.25">
      <c r="J433" s="15"/>
    </row>
    <row r="434" spans="10:10" x14ac:dyDescent="0.25">
      <c r="J434" s="15"/>
    </row>
    <row r="435" spans="10:10" x14ac:dyDescent="0.25">
      <c r="J435" s="15"/>
    </row>
    <row r="436" spans="10:10" x14ac:dyDescent="0.25">
      <c r="J436" s="15"/>
    </row>
    <row r="437" spans="10:10" x14ac:dyDescent="0.25">
      <c r="J437" s="14"/>
    </row>
    <row r="438" spans="10:10" x14ac:dyDescent="0.25">
      <c r="J438" s="14"/>
    </row>
    <row r="439" spans="10:10" x14ac:dyDescent="0.25">
      <c r="J439" s="14"/>
    </row>
    <row r="440" spans="10:10" x14ac:dyDescent="0.25">
      <c r="J440" s="14"/>
    </row>
    <row r="441" spans="10:10" x14ac:dyDescent="0.25">
      <c r="J441" s="14"/>
    </row>
    <row r="442" spans="10:10" x14ac:dyDescent="0.25">
      <c r="J442" s="14"/>
    </row>
    <row r="443" spans="10:10" x14ac:dyDescent="0.25">
      <c r="J443" s="14"/>
    </row>
    <row r="444" spans="10:10" x14ac:dyDescent="0.25">
      <c r="J444" s="14"/>
    </row>
    <row r="445" spans="10:10" x14ac:dyDescent="0.25">
      <c r="J445" s="14"/>
    </row>
    <row r="446" spans="10:10" x14ac:dyDescent="0.25">
      <c r="J446" s="14"/>
    </row>
    <row r="447" spans="10:10" x14ac:dyDescent="0.25">
      <c r="J447" s="14"/>
    </row>
    <row r="448" spans="10:10" x14ac:dyDescent="0.25">
      <c r="J448" s="14"/>
    </row>
    <row r="449" spans="10:10" x14ac:dyDescent="0.25">
      <c r="J449" s="14"/>
    </row>
    <row r="450" spans="10:10" x14ac:dyDescent="0.25">
      <c r="J450" s="14"/>
    </row>
    <row r="451" spans="10:10" x14ac:dyDescent="0.25">
      <c r="J451" s="14"/>
    </row>
    <row r="452" spans="10:10" x14ac:dyDescent="0.25">
      <c r="J452" s="14"/>
    </row>
    <row r="453" spans="10:10" x14ac:dyDescent="0.25">
      <c r="J453" s="14"/>
    </row>
    <row r="454" spans="10:10" x14ac:dyDescent="0.25">
      <c r="J454" s="14"/>
    </row>
    <row r="455" spans="10:10" x14ac:dyDescent="0.25">
      <c r="J455" s="14"/>
    </row>
    <row r="456" spans="10:10" x14ac:dyDescent="0.25">
      <c r="J456" s="14"/>
    </row>
    <row r="457" spans="10:10" x14ac:dyDescent="0.25">
      <c r="J457" s="14"/>
    </row>
    <row r="458" spans="10:10" x14ac:dyDescent="0.25">
      <c r="J458" s="14"/>
    </row>
    <row r="459" spans="10:10" x14ac:dyDescent="0.25">
      <c r="J459" s="14"/>
    </row>
    <row r="460" spans="10:10" x14ac:dyDescent="0.25">
      <c r="J460" s="14"/>
    </row>
    <row r="461" spans="10:10" x14ac:dyDescent="0.25">
      <c r="J461" s="14"/>
    </row>
    <row r="462" spans="10:10" x14ac:dyDescent="0.25">
      <c r="J462" s="14"/>
    </row>
    <row r="463" spans="10:10" x14ac:dyDescent="0.25">
      <c r="J463" s="14"/>
    </row>
    <row r="464" spans="10:10" x14ac:dyDescent="0.25">
      <c r="J464" s="14"/>
    </row>
    <row r="465" spans="10:10" x14ac:dyDescent="0.25">
      <c r="J465" s="15"/>
    </row>
    <row r="466" spans="10:10" x14ac:dyDescent="0.25">
      <c r="J466" s="15"/>
    </row>
    <row r="467" spans="10:10" x14ac:dyDescent="0.25">
      <c r="J467" s="15"/>
    </row>
    <row r="468" spans="10:10" x14ac:dyDescent="0.25">
      <c r="J468" s="15"/>
    </row>
    <row r="469" spans="10:10" x14ac:dyDescent="0.25">
      <c r="J469" s="15"/>
    </row>
    <row r="470" spans="10:10" x14ac:dyDescent="0.25">
      <c r="J470" s="15"/>
    </row>
    <row r="471" spans="10:10" x14ac:dyDescent="0.25">
      <c r="J471" s="15"/>
    </row>
    <row r="472" spans="10:10" x14ac:dyDescent="0.25">
      <c r="J472" s="14"/>
    </row>
    <row r="473" spans="10:10" x14ac:dyDescent="0.25">
      <c r="J473" s="14"/>
    </row>
    <row r="474" spans="10:10" x14ac:dyDescent="0.25">
      <c r="J474" s="14"/>
    </row>
    <row r="475" spans="10:10" x14ac:dyDescent="0.25">
      <c r="J475" s="14"/>
    </row>
    <row r="476" spans="10:10" x14ac:dyDescent="0.25">
      <c r="J476" s="14"/>
    </row>
    <row r="477" spans="10:10" x14ac:dyDescent="0.25">
      <c r="J477" s="14"/>
    </row>
    <row r="478" spans="10:10" x14ac:dyDescent="0.25">
      <c r="J478" s="14"/>
    </row>
    <row r="479" spans="10:10" x14ac:dyDescent="0.25">
      <c r="J479" s="14"/>
    </row>
    <row r="480" spans="10:10" x14ac:dyDescent="0.25">
      <c r="J480" s="14"/>
    </row>
    <row r="481" spans="10:10" x14ac:dyDescent="0.25">
      <c r="J481" s="14"/>
    </row>
    <row r="482" spans="10:10" x14ac:dyDescent="0.25">
      <c r="J482" s="14"/>
    </row>
    <row r="483" spans="10:10" x14ac:dyDescent="0.25">
      <c r="J483" s="14"/>
    </row>
    <row r="484" spans="10:10" x14ac:dyDescent="0.25">
      <c r="J484" s="14"/>
    </row>
    <row r="485" spans="10:10" x14ac:dyDescent="0.25">
      <c r="J485" s="14"/>
    </row>
    <row r="486" spans="10:10" x14ac:dyDescent="0.25">
      <c r="J486" s="14"/>
    </row>
    <row r="487" spans="10:10" x14ac:dyDescent="0.25">
      <c r="J487" s="14"/>
    </row>
    <row r="488" spans="10:10" x14ac:dyDescent="0.25">
      <c r="J488" s="14"/>
    </row>
    <row r="489" spans="10:10" x14ac:dyDescent="0.25">
      <c r="J489" s="14"/>
    </row>
    <row r="490" spans="10:10" x14ac:dyDescent="0.25">
      <c r="J490" s="14"/>
    </row>
    <row r="491" spans="10:10" x14ac:dyDescent="0.25">
      <c r="J491" s="14"/>
    </row>
    <row r="492" spans="10:10" x14ac:dyDescent="0.25">
      <c r="J492" s="14"/>
    </row>
    <row r="493" spans="10:10" x14ac:dyDescent="0.25">
      <c r="J493" s="14"/>
    </row>
    <row r="494" spans="10:10" x14ac:dyDescent="0.25">
      <c r="J494" s="14"/>
    </row>
    <row r="495" spans="10:10" x14ac:dyDescent="0.25">
      <c r="J495" s="14"/>
    </row>
    <row r="496" spans="10:10" x14ac:dyDescent="0.25">
      <c r="J496" s="14"/>
    </row>
    <row r="497" spans="10:10" x14ac:dyDescent="0.25">
      <c r="J497" s="14"/>
    </row>
    <row r="498" spans="10:10" x14ac:dyDescent="0.25">
      <c r="J498" s="14"/>
    </row>
    <row r="499" spans="10:10" x14ac:dyDescent="0.25">
      <c r="J499" s="14"/>
    </row>
    <row r="500" spans="10:10" x14ac:dyDescent="0.25">
      <c r="J500" s="14"/>
    </row>
    <row r="501" spans="10:10" x14ac:dyDescent="0.25">
      <c r="J501" s="14"/>
    </row>
    <row r="502" spans="10:10" x14ac:dyDescent="0.25">
      <c r="J502" s="14"/>
    </row>
    <row r="503" spans="10:10" x14ac:dyDescent="0.25">
      <c r="J503" s="14"/>
    </row>
    <row r="504" spans="10:10" x14ac:dyDescent="0.25">
      <c r="J504" s="14"/>
    </row>
    <row r="505" spans="10:10" x14ac:dyDescent="0.25">
      <c r="J505" s="14"/>
    </row>
    <row r="506" spans="10:10" x14ac:dyDescent="0.25">
      <c r="J506" s="14"/>
    </row>
    <row r="507" spans="10:10" x14ac:dyDescent="0.25">
      <c r="J507" s="14"/>
    </row>
    <row r="508" spans="10:10" x14ac:dyDescent="0.25">
      <c r="J508" s="14"/>
    </row>
    <row r="509" spans="10:10" x14ac:dyDescent="0.25">
      <c r="J509" s="14"/>
    </row>
    <row r="510" spans="10:10" x14ac:dyDescent="0.25">
      <c r="J510" s="14"/>
    </row>
    <row r="511" spans="10:10" x14ac:dyDescent="0.25">
      <c r="J511" s="14"/>
    </row>
    <row r="512" spans="10:10" x14ac:dyDescent="0.25">
      <c r="J512" s="14"/>
    </row>
    <row r="513" spans="10:10" x14ac:dyDescent="0.25">
      <c r="J513" s="14"/>
    </row>
    <row r="514" spans="10:10" x14ac:dyDescent="0.25">
      <c r="J514" s="14"/>
    </row>
    <row r="515" spans="10:10" x14ac:dyDescent="0.25">
      <c r="J515" s="14"/>
    </row>
    <row r="516" spans="10:10" x14ac:dyDescent="0.25">
      <c r="J516" s="14"/>
    </row>
    <row r="517" spans="10:10" x14ac:dyDescent="0.25">
      <c r="J517" s="14"/>
    </row>
    <row r="518" spans="10:10" x14ac:dyDescent="0.25">
      <c r="J518" s="14"/>
    </row>
    <row r="519" spans="10:10" x14ac:dyDescent="0.25">
      <c r="J519" s="14"/>
    </row>
    <row r="520" spans="10:10" x14ac:dyDescent="0.25">
      <c r="J520" s="14"/>
    </row>
    <row r="521" spans="10:10" x14ac:dyDescent="0.25">
      <c r="J521" s="14"/>
    </row>
    <row r="522" spans="10:10" x14ac:dyDescent="0.25">
      <c r="J522" s="14"/>
    </row>
    <row r="523" spans="10:10" x14ac:dyDescent="0.25">
      <c r="J523" s="14"/>
    </row>
    <row r="524" spans="10:10" x14ac:dyDescent="0.25">
      <c r="J524" s="14"/>
    </row>
    <row r="525" spans="10:10" x14ac:dyDescent="0.25">
      <c r="J525" s="14"/>
    </row>
    <row r="526" spans="10:10" x14ac:dyDescent="0.25">
      <c r="J526" s="14"/>
    </row>
    <row r="527" spans="10:10" x14ac:dyDescent="0.25">
      <c r="J527" s="14"/>
    </row>
    <row r="528" spans="10:10" x14ac:dyDescent="0.25">
      <c r="J528" s="15"/>
    </row>
    <row r="529" spans="10:10" x14ac:dyDescent="0.25">
      <c r="J529" s="15"/>
    </row>
    <row r="530" spans="10:10" x14ac:dyDescent="0.25">
      <c r="J530" s="15"/>
    </row>
    <row r="531" spans="10:10" x14ac:dyDescent="0.25">
      <c r="J531" s="15"/>
    </row>
    <row r="532" spans="10:10" x14ac:dyDescent="0.25">
      <c r="J532" s="15"/>
    </row>
    <row r="533" spans="10:10" x14ac:dyDescent="0.25">
      <c r="J533" s="15"/>
    </row>
    <row r="534" spans="10:10" x14ac:dyDescent="0.25">
      <c r="J534" s="15"/>
    </row>
    <row r="535" spans="10:10" x14ac:dyDescent="0.25">
      <c r="J535" s="15"/>
    </row>
    <row r="536" spans="10:10" x14ac:dyDescent="0.25">
      <c r="J536" s="15"/>
    </row>
    <row r="537" spans="10:10" x14ac:dyDescent="0.25">
      <c r="J537" s="15"/>
    </row>
    <row r="538" spans="10:10" x14ac:dyDescent="0.25">
      <c r="J538" s="15"/>
    </row>
    <row r="539" spans="10:10" x14ac:dyDescent="0.25">
      <c r="J539" s="15"/>
    </row>
    <row r="540" spans="10:10" x14ac:dyDescent="0.25">
      <c r="J540" s="15"/>
    </row>
    <row r="541" spans="10:10" x14ac:dyDescent="0.25">
      <c r="J541" s="15"/>
    </row>
    <row r="542" spans="10:10" x14ac:dyDescent="0.25">
      <c r="J542" s="15"/>
    </row>
    <row r="543" spans="10:10" x14ac:dyDescent="0.25">
      <c r="J543" s="15"/>
    </row>
    <row r="544" spans="10:10" x14ac:dyDescent="0.25">
      <c r="J544" s="15"/>
    </row>
    <row r="545" spans="10:10" x14ac:dyDescent="0.25">
      <c r="J545" s="15"/>
    </row>
    <row r="546" spans="10:10" x14ac:dyDescent="0.25">
      <c r="J546" s="15"/>
    </row>
    <row r="547" spans="10:10" x14ac:dyDescent="0.25">
      <c r="J547" s="15"/>
    </row>
    <row r="548" spans="10:10" x14ac:dyDescent="0.25">
      <c r="J548" s="15"/>
    </row>
    <row r="549" spans="10:10" x14ac:dyDescent="0.25">
      <c r="J549" s="14"/>
    </row>
    <row r="550" spans="10:10" x14ac:dyDescent="0.25">
      <c r="J550" s="14"/>
    </row>
    <row r="551" spans="10:10" x14ac:dyDescent="0.25">
      <c r="J551" s="14"/>
    </row>
    <row r="552" spans="10:10" x14ac:dyDescent="0.25">
      <c r="J552" s="14"/>
    </row>
    <row r="553" spans="10:10" x14ac:dyDescent="0.25">
      <c r="J553" s="14"/>
    </row>
    <row r="554" spans="10:10" x14ac:dyDescent="0.25">
      <c r="J554" s="14"/>
    </row>
    <row r="555" spans="10:10" x14ac:dyDescent="0.25">
      <c r="J555" s="14"/>
    </row>
  </sheetData>
  <mergeCells count="12">
    <mergeCell ref="D6:E6"/>
    <mergeCell ref="D1:E1"/>
    <mergeCell ref="D2:E2"/>
    <mergeCell ref="D3:E3"/>
    <mergeCell ref="D4:E4"/>
    <mergeCell ref="D5:E5"/>
    <mergeCell ref="D7:E7"/>
    <mergeCell ref="D8:E8"/>
    <mergeCell ref="D10:E10"/>
    <mergeCell ref="D11:E11"/>
    <mergeCell ref="D12:E12"/>
    <mergeCell ref="D9:E9"/>
  </mergeCells>
  <dataValidations count="1">
    <dataValidation type="list" allowBlank="1" showInputMessage="1" showErrorMessage="1" sqref="G3:G56" xr:uid="{00000000-0002-0000-0500-000000000000}">
      <formula1>$G$3:$G$56</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Working Document" ma:contentTypeID="0x010100823A99C636F7423283FB0D200866C61300AE1A2994EE84A84F9E74D345EED6B3D10088ECA138718353438D4A052900881425" ma:contentTypeVersion="16" ma:contentTypeDescription="" ma:contentTypeScope="" ma:versionID="2a4c09df1e3a62c3b12fd7b7bb235f29">
  <xsd:schema xmlns:xsd="http://www.w3.org/2001/XMLSchema" xmlns:xs="http://www.w3.org/2001/XMLSchema" xmlns:p="http://schemas.microsoft.com/office/2006/metadata/properties" xmlns:ns1="http://schemas.microsoft.com/sharepoint/v3" xmlns:ns2="4d3e69fe-1b8b-4540-be82-e253ea88466b" xmlns:ns3="http://schemas.microsoft.com/sharepoint/v3/fields" targetNamespace="http://schemas.microsoft.com/office/2006/metadata/properties" ma:root="true" ma:fieldsID="cc421a2e084d263ad97b084ca96adad2" ns1:_="" ns2:_="" ns3:_="">
    <xsd:import namespace="http://schemas.microsoft.com/sharepoint/v3"/>
    <xsd:import namespace="4d3e69fe-1b8b-4540-be82-e253ea88466b"/>
    <xsd:import namespace="http://schemas.microsoft.com/sharepoint/v3/fields"/>
    <xsd:element name="properties">
      <xsd:complexType>
        <xsd:sequence>
          <xsd:element name="documentManagement">
            <xsd:complexType>
              <xsd:all>
                <xsd:element ref="ns2:Document_x0020_Owner"/>
                <xsd:element ref="ns3:_Contributor" minOccurs="0"/>
                <xsd:element ref="ns1:MITRE_x0020_Sensitivity" minOccurs="0"/>
                <xsd:element ref="ns1:Release_x0020_Statement" minOccurs="0"/>
                <xsd:element ref="ns2:Project_x002f_Task"/>
                <xsd:element ref="ns2:Status" minOccurs="0"/>
                <xsd:element ref="ns2:Training_x0020_Document" minOccurs="0"/>
                <xsd:element ref="ns2:Path_All" minOccurs="0"/>
                <xsd:element ref="ns2:Comments_from_Title" minOccurs="0"/>
                <xsd:element ref="ns2:St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MITRE_x0020_Sensitivity" ma:index="5" nillable="true" ma:displayName="Sensitivity" ma:default="Internal MITRE Information" ma:hidden="true" ma:internalName="MITRE_x0020_Sensitivity" ma:readOnly="false">
      <xsd:simpleType>
        <xsd:restriction base="dms:Choice">
          <xsd:enumeration value="Public Information"/>
          <xsd:enumeration value="Internal MITRE Information"/>
          <xsd:enumeration value="Sensitive Information"/>
          <xsd:enumeration value="Highly Sensitive Information"/>
        </xsd:restriction>
      </xsd:simpleType>
    </xsd:element>
    <xsd:element name="Release_x0020_Statement" ma:index="6" nillable="true" ma:displayName="Release Statement" ma:default="For Internal MITRE Use" ma:hidden="true" ma:internalName="Release_x0020_Statement" ma:readOnly="false">
      <xsd:simpleType>
        <xsd:union memberTypes="dms:Text">
          <xsd:simpleType>
            <xsd:restriction base="dms:Choice">
              <xsd:enumeration value="Approved for Public Release"/>
              <xsd:enumeration value="For Internal MITRE Use"/>
              <xsd:enumeration value="For Release to All Sponsors"/>
              <xsd:enumeration value="For Limited Internal MITRE Use"/>
              <xsd:enumeration value="For Limited External Release"/>
              <xsd:enumeration value="Privileged: Sensitive Personal Information"/>
              <xsd:enumeration value="MITRE Proprietary"/>
              <xsd:enumeration value="Source Selection Sensitive"/>
              <xsd:enumeration value="Restricted: Highly Sensitive Personal Information"/>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4d3e69fe-1b8b-4540-be82-e253ea88466b" elementFormDefault="qualified">
    <xsd:import namespace="http://schemas.microsoft.com/office/2006/documentManagement/types"/>
    <xsd:import namespace="http://schemas.microsoft.com/office/infopath/2007/PartnerControls"/>
    <xsd:element name="Document_x0020_Owner" ma:index="1" ma:displayName="Document Owner" ma:internalName="Document_x0020_Owner">
      <xsd:simpleType>
        <xsd:restriction base="dms:Text">
          <xsd:maxLength value="255"/>
        </xsd:restriction>
      </xsd:simpleType>
    </xsd:element>
    <xsd:element name="Project_x002f_Task" ma:index="7" ma:displayName="Project/Task" ma:format="Dropdown" ma:internalName="Project_x002f_Task" ma:readOnly="false">
      <xsd:simpleType>
        <xsd:restriction base="dms:Choice">
          <xsd:enumeration value="Enterprise"/>
          <xsd:enumeration value="E&amp;E"/>
          <xsd:enumeration value="MMIS"/>
          <xsd:enumeration value="HITECH"/>
          <xsd:enumeration value="Reuse"/>
          <xsd:enumeration value="MES Strategy"/>
          <xsd:enumeration value="MES Outreach"/>
          <xsd:enumeration value="Acceleration"/>
          <xsd:enumeration value="Provider Screening"/>
          <xsd:enumeration value="Portfolio Tracking"/>
          <xsd:enumeration value="Cross-Cutting Medicaid Work"/>
          <xsd:enumeration value="CPIC"/>
          <xsd:enumeration value="MITA Governance"/>
          <xsd:enumeration value="MMIS Cohort"/>
          <xsd:enumeration value="Tri-Agency"/>
          <xsd:enumeration value="Transition"/>
          <xsd:enumeration value="Member Mgmt"/>
          <xsd:enumeration value="E&amp;E Playbook"/>
          <xsd:enumeration value="Pre-Certification"/>
        </xsd:restriction>
      </xsd:simpleType>
    </xsd:element>
    <xsd:element name="Status" ma:index="15" nillable="true" ma:displayName="Status" ma:default="In Progress" ma:format="Dropdown" ma:internalName="Status" ma:readOnly="false">
      <xsd:simpleType>
        <xsd:restriction base="dms:Choice">
          <xsd:enumeration value="In Progress"/>
          <xsd:enumeration value="Draft"/>
          <xsd:enumeration value="Delivered"/>
          <xsd:enumeration value="Archive"/>
          <xsd:enumeration value="Other"/>
        </xsd:restriction>
      </xsd:simpleType>
    </xsd:element>
    <xsd:element name="Training_x0020_Document" ma:index="16" nillable="true" ma:displayName="Training Document" ma:default="0" ma:internalName="Training_x0020_Document">
      <xsd:simpleType>
        <xsd:restriction base="dms:Boolean"/>
      </xsd:simpleType>
    </xsd:element>
    <xsd:element name="Path_All" ma:index="17" nillable="true" ma:displayName="Path_All" ma:description="This field is the path to each document in the library copies from an Excel download linked to the library." ma:internalName="Path_All">
      <xsd:simpleType>
        <xsd:restriction base="dms:Text">
          <xsd:maxLength value="255"/>
        </xsd:restriction>
      </xsd:simpleType>
    </xsd:element>
    <xsd:element name="Comments_from_Title" ma:index="18" nillable="true" ma:displayName="Comments_from_Title" ma:description="This is a copy of the Title field. This allows Name field to be copied to Title field." ma:internalName="Comments_from_Title">
      <xsd:simpleType>
        <xsd:restriction base="dms:Text">
          <xsd:maxLength value="255"/>
        </xsd:restriction>
      </xsd:simpleType>
    </xsd:element>
    <xsd:element name="State" ma:index="19" nillable="true" ma:displayName="State" ma:default="N/A" ma:format="Dropdown" ma:internalName="State">
      <xsd:simpleType>
        <xsd:restriction base="dms:Choice">
          <xsd:enumeration value="N/A"/>
          <xsd:enumeration value="AL"/>
          <xsd:enumeration value="AK"/>
          <xsd:enumeration value="AZ"/>
          <xsd:enumeration value="AR"/>
          <xsd:enumeration value="CA"/>
          <xsd:enumeration value="CO"/>
          <xsd:enumeration value="CT"/>
          <xsd:enumeration value="DE"/>
          <xsd:enumeration value="FL"/>
          <xsd:enumeration value="GA"/>
          <xsd:enumeration value="HI"/>
          <xsd:enumeration value="ID"/>
          <xsd:enumeration value="IL"/>
          <xsd:enumeration value="IN"/>
          <xsd:enumeration value="IA"/>
          <xsd:enumeration value="KS"/>
          <xsd:enumeration value="KY"/>
          <xsd:enumeration value="LA"/>
          <xsd:enumeration value="ME"/>
          <xsd:enumeration value="MD"/>
          <xsd:enumeration value="MA"/>
          <xsd:enumeration value="MI"/>
          <xsd:enumeration value="MN"/>
          <xsd:enumeration value="MS"/>
          <xsd:enumeration value="MO"/>
          <xsd:enumeration value="MT"/>
          <xsd:enumeration value="NE"/>
          <xsd:enumeration value="NV"/>
          <xsd:enumeration value="NH"/>
          <xsd:enumeration value="NJ"/>
          <xsd:enumeration value="NM"/>
          <xsd:enumeration value="NY"/>
          <xsd:enumeration value="NC"/>
          <xsd:enumeration value="ND"/>
          <xsd:enumeration value="OH"/>
          <xsd:enumeration value="OK"/>
          <xsd:enumeration value="OR"/>
          <xsd:enumeration value="PA"/>
          <xsd:enumeration value="RI"/>
          <xsd:enumeration value="SC"/>
          <xsd:enumeration value="SD"/>
          <xsd:enumeration value="TN"/>
          <xsd:enumeration value="TX"/>
          <xsd:enumeration value="UT"/>
          <xsd:enumeration value="VT"/>
          <xsd:enumeration value="VA"/>
          <xsd:enumeration value="WA"/>
          <xsd:enumeration value="WV"/>
          <xsd:enumeration value="WI"/>
          <xsd:enumeration value="WY"/>
          <xsd:enumeration value="GU"/>
          <xsd:enumeration value="PR"/>
          <xsd:enumeration value="VI"/>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Contributor" ma:index="4" nillable="true" ma:displayName="Contributor" ma:description="One or more people or organizations that contributed to this resource" ma:hidden="true" ma:internalName="_Contributor" ma:readOnly="fals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3" ma:displayName="Author"/>
        <xsd:element ref="dcterms:created" minOccurs="0" maxOccurs="1"/>
        <xsd:element ref="dc:identifier" minOccurs="0" maxOccurs="1"/>
        <xsd:element name="contentType" minOccurs="0" maxOccurs="1" type="xsd:string" ma:index="9" ma:displayName="Content Type"/>
        <xsd:element ref="dc:title" minOccurs="0" maxOccurs="1" ma:index="2" ma:displayName="Title"/>
        <xsd:element ref="dc:subject" minOccurs="0" maxOccurs="1"/>
        <xsd:element ref="dc:description" minOccurs="0" maxOccurs="1" ma:index="8" ma:displayName="Comments"/>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Contributor xmlns="http://schemas.microsoft.com/sharepoint/v3/fields" xsi:nil="true"/>
    <Project_x002f_Task xmlns="4d3e69fe-1b8b-4540-be82-e253ea88466b">MMIS</Project_x002f_Task>
    <MITRE_x0020_Sensitivity xmlns="http://schemas.microsoft.com/sharepoint/v3">Internal MITRE Information</MITRE_x0020_Sensitivity>
    <Document_x0020_Owner xmlns="4d3e69fe-1b8b-4540-be82-e253ea88466b">CMS</Document_x0020_Owner>
    <Release_x0020_Statement xmlns="http://schemas.microsoft.com/sharepoint/v3">For Internal MITRE Use</Release_x0020_Statement>
    <Status xmlns="4d3e69fe-1b8b-4540-be82-e253ea88466b">In Progress</Status>
    <Training_x0020_Document xmlns="4d3e69fe-1b8b-4540-be82-e253ea88466b">false</Training_x0020_Document>
    <Path_All xmlns="4d3e69fe-1b8b-4540-be82-e253ea88466b" xsi:nil="true"/>
    <Comments_from_Title xmlns="4d3e69fe-1b8b-4540-be82-e253ea88466b" xsi:nil="true"/>
    <State xmlns="4d3e69fe-1b8b-4540-be82-e253ea88466b">N/A</State>
  </documentManagement>
</p:properties>
</file>

<file path=customXml/item4.xml><?xml version="1.0" encoding="utf-8"?>
<?mso-contentType ?>
<customXsn xmlns="http://schemas.microsoft.com/office/2006/metadata/customXsn">
  <xsnLocation/>
  <cached>True</cached>
  <openByDefault>True</openByDefault>
  <xsnScope/>
</customXsn>
</file>

<file path=customXml/itemProps1.xml><?xml version="1.0" encoding="utf-8"?>
<ds:datastoreItem xmlns:ds="http://schemas.openxmlformats.org/officeDocument/2006/customXml" ds:itemID="{82273AD5-0A7A-405B-9E28-AE21D4216BFE}">
  <ds:schemaRefs>
    <ds:schemaRef ds:uri="http://schemas.microsoft.com/sharepoint/v3/contenttype/forms"/>
  </ds:schemaRefs>
</ds:datastoreItem>
</file>

<file path=customXml/itemProps2.xml><?xml version="1.0" encoding="utf-8"?>
<ds:datastoreItem xmlns:ds="http://schemas.openxmlformats.org/officeDocument/2006/customXml" ds:itemID="{182987B9-FA1A-4ED4-937E-F908C5400D4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d3e69fe-1b8b-4540-be82-e253ea88466b"/>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2C76C9F-5425-4543-AC3F-5C49D9F44C61}">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microsoft.com/sharepoint/v3/fields"/>
    <ds:schemaRef ds:uri="http://schemas.microsoft.com/sharepoint/v3"/>
    <ds:schemaRef ds:uri="4d3e69fe-1b8b-4540-be82-e253ea88466b"/>
    <ds:schemaRef ds:uri="http://www.w3.org/XML/1998/namespace"/>
    <ds:schemaRef ds:uri="http://purl.org/dc/dcmitype/"/>
  </ds:schemaRefs>
</ds:datastoreItem>
</file>

<file path=customXml/itemProps4.xml><?xml version="1.0" encoding="utf-8"?>
<ds:datastoreItem xmlns:ds="http://schemas.openxmlformats.org/officeDocument/2006/customXml" ds:itemID="{94A47AD7-E35E-4014-B4D2-DFFEBE268213}">
  <ds:schemaRefs>
    <ds:schemaRef ds:uri="http://schemas.microsoft.com/office/2006/metadata/customXs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BA-Scorecard</vt:lpstr>
      <vt:lpstr>IA-Scorecard</vt:lpstr>
      <vt:lpstr>TA-Scorecard</vt:lpstr>
      <vt:lpstr>S&amp;C Scorecard</vt:lpstr>
    </vt:vector>
  </TitlesOfParts>
  <Company>The MITRE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MITA eSelf Assessment Scorecard Template</dc:title>
  <dc:creator>Khrista King</dc:creator>
  <dc:description/>
  <cp:lastModifiedBy>Felipe Cruz</cp:lastModifiedBy>
  <dcterms:created xsi:type="dcterms:W3CDTF">2013-07-09T13:34:00Z</dcterms:created>
  <dcterms:modified xsi:type="dcterms:W3CDTF">2018-01-24T08:22:23Z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0x010100823A99C636F7423283FB0D200866C61300AE1A2994EE84A84F9E74D345EED6B3D10088ECA138718353438D4A052900881425</vt:lpwstr>
  </property>
  <property fmtid="{D5CDD505-2E9C-101B-9397-08002B2CF9AE}" pid="3" name="Status">
    <vt:lpwstr>Deliverable</vt:lpwstr>
  </property>
</Properties>
</file>